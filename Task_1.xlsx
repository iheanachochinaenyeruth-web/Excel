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bb323e9ff81561c/Documents/"/>
    </mc:Choice>
  </mc:AlternateContent>
  <xr:revisionPtr revIDLastSave="0" documentId="8_{63EC9FB8-FC4A-4BFF-9891-E740C2E55A6A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CUSTOMERS A" sheetId="4" r:id="rId1"/>
    <sheet name="PRODUCTS A" sheetId="5" r:id="rId2"/>
    <sheet name="TRANSCATIONS A" sheetId="6" r:id="rId3"/>
    <sheet name="CLEANED DATA" sheetId="7" r:id="rId4"/>
    <sheet name="pivout table" sheetId="10" r:id="rId5"/>
    <sheet name="dashboard" sheetId="11" r:id="rId6"/>
  </sheets>
  <definedNames>
    <definedName name="_xlnm._FilterDatabase" localSheetId="3" hidden="1">'CLEANED DATA'!$J$1:$M$152</definedName>
    <definedName name="_xlnm._FilterDatabase" localSheetId="0" hidden="1">'CUSTOMERS A'!$A$1:$D$1000</definedName>
    <definedName name="_xlnm._FilterDatabase" localSheetId="2" hidden="1">'TRANSCATIONS A'!$A$1:$F$151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7" l="1"/>
  <c r="A3" i="7"/>
  <c r="C3" i="7" s="1"/>
  <c r="A4" i="7"/>
  <c r="C4" i="7" s="1"/>
  <c r="A5" i="7"/>
  <c r="C5" i="7" s="1"/>
  <c r="A6" i="7"/>
  <c r="C6" i="7" s="1"/>
  <c r="A7" i="7"/>
  <c r="C7" i="7" s="1"/>
  <c r="A8" i="7"/>
  <c r="C8" i="7" s="1"/>
  <c r="A9" i="7"/>
  <c r="B9" i="7" s="1"/>
  <c r="A10" i="7"/>
  <c r="B10" i="7" s="1"/>
  <c r="A11" i="7"/>
  <c r="C11" i="7" s="1"/>
  <c r="A12" i="7"/>
  <c r="C12" i="7" s="1"/>
  <c r="A13" i="7"/>
  <c r="C13" i="7" s="1"/>
  <c r="A14" i="7"/>
  <c r="C14" i="7" s="1"/>
  <c r="A15" i="7"/>
  <c r="C15" i="7" s="1"/>
  <c r="A16" i="7"/>
  <c r="C16" i="7" s="1"/>
  <c r="A17" i="7"/>
  <c r="B17" i="7" s="1"/>
  <c r="A18" i="7"/>
  <c r="B18" i="7" s="1"/>
  <c r="A19" i="7"/>
  <c r="C19" i="7" s="1"/>
  <c r="A20" i="7"/>
  <c r="C20" i="7" s="1"/>
  <c r="A21" i="7"/>
  <c r="C21" i="7" s="1"/>
  <c r="A22" i="7"/>
  <c r="C22" i="7" s="1"/>
  <c r="A23" i="7"/>
  <c r="C23" i="7" s="1"/>
  <c r="A24" i="7"/>
  <c r="C24" i="7" s="1"/>
  <c r="A25" i="7"/>
  <c r="B25" i="7" s="1"/>
  <c r="A26" i="7"/>
  <c r="B26" i="7" s="1"/>
  <c r="A27" i="7"/>
  <c r="C27" i="7" s="1"/>
  <c r="A28" i="7"/>
  <c r="C28" i="7" s="1"/>
  <c r="A29" i="7"/>
  <c r="C29" i="7" s="1"/>
  <c r="A30" i="7"/>
  <c r="C30" i="7" s="1"/>
  <c r="A31" i="7"/>
  <c r="C31" i="7" s="1"/>
  <c r="A32" i="7"/>
  <c r="C32" i="7" s="1"/>
  <c r="A33" i="7"/>
  <c r="B33" i="7" s="1"/>
  <c r="A34" i="7"/>
  <c r="B34" i="7" s="1"/>
  <c r="A35" i="7"/>
  <c r="C35" i="7" s="1"/>
  <c r="A36" i="7"/>
  <c r="C36" i="7" s="1"/>
  <c r="A37" i="7"/>
  <c r="C37" i="7" s="1"/>
  <c r="A38" i="7"/>
  <c r="C38" i="7" s="1"/>
  <c r="A39" i="7"/>
  <c r="C39" i="7" s="1"/>
  <c r="A40" i="7"/>
  <c r="C40" i="7" s="1"/>
  <c r="A41" i="7"/>
  <c r="B41" i="7" s="1"/>
  <c r="A42" i="7"/>
  <c r="C42" i="7" s="1"/>
  <c r="A43" i="7"/>
  <c r="C43" i="7" s="1"/>
  <c r="A44" i="7"/>
  <c r="C44" i="7" s="1"/>
  <c r="A45" i="7"/>
  <c r="C45" i="7" s="1"/>
  <c r="A46" i="7"/>
  <c r="C46" i="7" s="1"/>
  <c r="A47" i="7"/>
  <c r="C47" i="7" s="1"/>
  <c r="A48" i="7"/>
  <c r="B48" i="7" s="1"/>
  <c r="A49" i="7"/>
  <c r="B49" i="7" s="1"/>
  <c r="A50" i="7"/>
  <c r="C50" i="7" s="1"/>
  <c r="A51" i="7"/>
  <c r="C51" i="7" s="1"/>
  <c r="A52" i="7"/>
  <c r="C52" i="7" s="1"/>
  <c r="A53" i="7"/>
  <c r="C53" i="7" s="1"/>
  <c r="A54" i="7"/>
  <c r="C54" i="7" s="1"/>
  <c r="A55" i="7"/>
  <c r="C55" i="7" s="1"/>
  <c r="A56" i="7"/>
  <c r="B56" i="7" s="1"/>
  <c r="A57" i="7"/>
  <c r="B57" i="7" s="1"/>
  <c r="A58" i="7"/>
  <c r="C58" i="7" s="1"/>
  <c r="A59" i="7"/>
  <c r="C59" i="7" s="1"/>
  <c r="A60" i="7"/>
  <c r="C60" i="7" s="1"/>
  <c r="A61" i="7"/>
  <c r="C61" i="7" s="1"/>
  <c r="A62" i="7"/>
  <c r="C62" i="7" s="1"/>
  <c r="A63" i="7"/>
  <c r="C63" i="7" s="1"/>
  <c r="A64" i="7"/>
  <c r="B64" i="7" s="1"/>
  <c r="A65" i="7"/>
  <c r="B65" i="7" s="1"/>
  <c r="A66" i="7"/>
  <c r="C66" i="7" s="1"/>
  <c r="A67" i="7"/>
  <c r="C67" i="7" s="1"/>
  <c r="A68" i="7"/>
  <c r="C68" i="7" s="1"/>
  <c r="A69" i="7"/>
  <c r="C69" i="7" s="1"/>
  <c r="A70" i="7"/>
  <c r="C70" i="7" s="1"/>
  <c r="A71" i="7"/>
  <c r="C71" i="7" s="1"/>
  <c r="A72" i="7"/>
  <c r="B72" i="7" s="1"/>
  <c r="A73" i="7"/>
  <c r="B73" i="7" s="1"/>
  <c r="A74" i="7"/>
  <c r="C74" i="7" s="1"/>
  <c r="A75" i="7"/>
  <c r="C75" i="7" s="1"/>
  <c r="A76" i="7"/>
  <c r="C76" i="7" s="1"/>
  <c r="A77" i="7"/>
  <c r="C77" i="7" s="1"/>
  <c r="A78" i="7"/>
  <c r="C78" i="7" s="1"/>
  <c r="A79" i="7"/>
  <c r="C79" i="7" s="1"/>
  <c r="A80" i="7"/>
  <c r="B80" i="7" s="1"/>
  <c r="A81" i="7"/>
  <c r="B81" i="7" s="1"/>
  <c r="A82" i="7"/>
  <c r="C82" i="7" s="1"/>
  <c r="A83" i="7"/>
  <c r="C83" i="7" s="1"/>
  <c r="A84" i="7"/>
  <c r="C84" i="7" s="1"/>
  <c r="A85" i="7"/>
  <c r="C85" i="7" s="1"/>
  <c r="A86" i="7"/>
  <c r="C86" i="7" s="1"/>
  <c r="A87" i="7"/>
  <c r="C87" i="7" s="1"/>
  <c r="A88" i="7"/>
  <c r="B88" i="7" s="1"/>
  <c r="A89" i="7"/>
  <c r="B89" i="7" s="1"/>
  <c r="A90" i="7"/>
  <c r="C90" i="7" s="1"/>
  <c r="A91" i="7"/>
  <c r="C91" i="7" s="1"/>
  <c r="A92" i="7"/>
  <c r="C92" i="7" s="1"/>
  <c r="A93" i="7"/>
  <c r="C93" i="7" s="1"/>
  <c r="A94" i="7"/>
  <c r="C94" i="7" s="1"/>
  <c r="A95" i="7"/>
  <c r="C95" i="7" s="1"/>
  <c r="A96" i="7"/>
  <c r="B96" i="7" s="1"/>
  <c r="A97" i="7"/>
  <c r="B97" i="7" s="1"/>
  <c r="A98" i="7"/>
  <c r="C98" i="7" s="1"/>
  <c r="A99" i="7"/>
  <c r="C99" i="7" s="1"/>
  <c r="A100" i="7"/>
  <c r="C100" i="7" s="1"/>
  <c r="A101" i="7"/>
  <c r="C101" i="7" s="1"/>
  <c r="A102" i="7"/>
  <c r="C102" i="7" s="1"/>
  <c r="A103" i="7"/>
  <c r="C103" i="7" s="1"/>
  <c r="A104" i="7"/>
  <c r="B104" i="7" s="1"/>
  <c r="A105" i="7"/>
  <c r="B105" i="7" s="1"/>
  <c r="A106" i="7"/>
  <c r="C106" i="7" s="1"/>
  <c r="A107" i="7"/>
  <c r="C107" i="7" s="1"/>
  <c r="A108" i="7"/>
  <c r="C108" i="7" s="1"/>
  <c r="A109" i="7"/>
  <c r="C109" i="7" s="1"/>
  <c r="A110" i="7"/>
  <c r="C110" i="7" s="1"/>
  <c r="A111" i="7"/>
  <c r="C111" i="7" s="1"/>
  <c r="A112" i="7"/>
  <c r="B112" i="7" s="1"/>
  <c r="A113" i="7"/>
  <c r="B113" i="7" s="1"/>
  <c r="A114" i="7"/>
  <c r="C114" i="7" s="1"/>
  <c r="A115" i="7"/>
  <c r="C115" i="7" s="1"/>
  <c r="A116" i="7"/>
  <c r="C116" i="7" s="1"/>
  <c r="A117" i="7"/>
  <c r="C117" i="7" s="1"/>
  <c r="A118" i="7"/>
  <c r="C118" i="7" s="1"/>
  <c r="A119" i="7"/>
  <c r="C119" i="7" s="1"/>
  <c r="A120" i="7"/>
  <c r="B120" i="7" s="1"/>
  <c r="A121" i="7"/>
  <c r="B121" i="7" s="1"/>
  <c r="A122" i="7"/>
  <c r="C122" i="7" s="1"/>
  <c r="A123" i="7"/>
  <c r="C123" i="7" s="1"/>
  <c r="A124" i="7"/>
  <c r="C124" i="7" s="1"/>
  <c r="A125" i="7"/>
  <c r="C125" i="7" s="1"/>
  <c r="A126" i="7"/>
  <c r="C126" i="7" s="1"/>
  <c r="A127" i="7"/>
  <c r="C127" i="7" s="1"/>
  <c r="A128" i="7"/>
  <c r="B128" i="7" s="1"/>
  <c r="A129" i="7"/>
  <c r="B129" i="7" s="1"/>
  <c r="A130" i="7"/>
  <c r="C130" i="7" s="1"/>
  <c r="A131" i="7"/>
  <c r="C131" i="7" s="1"/>
  <c r="A132" i="7"/>
  <c r="C132" i="7" s="1"/>
  <c r="A133" i="7"/>
  <c r="C133" i="7" s="1"/>
  <c r="A134" i="7"/>
  <c r="C134" i="7" s="1"/>
  <c r="A135" i="7"/>
  <c r="C135" i="7" s="1"/>
  <c r="A136" i="7"/>
  <c r="B136" i="7" s="1"/>
  <c r="A137" i="7"/>
  <c r="B137" i="7" s="1"/>
  <c r="A138" i="7"/>
  <c r="C138" i="7" s="1"/>
  <c r="A139" i="7"/>
  <c r="C139" i="7" s="1"/>
  <c r="A140" i="7"/>
  <c r="C140" i="7" s="1"/>
  <c r="A141" i="7"/>
  <c r="C141" i="7" s="1"/>
  <c r="A142" i="7"/>
  <c r="C142" i="7" s="1"/>
  <c r="A143" i="7"/>
  <c r="C143" i="7" s="1"/>
  <c r="A144" i="7"/>
  <c r="B144" i="7" s="1"/>
  <c r="A145" i="7"/>
  <c r="B145" i="7" s="1"/>
  <c r="A146" i="7"/>
  <c r="C146" i="7" s="1"/>
  <c r="A147" i="7"/>
  <c r="C147" i="7" s="1"/>
  <c r="A148" i="7"/>
  <c r="C148" i="7" s="1"/>
  <c r="A149" i="7"/>
  <c r="C149" i="7" s="1"/>
  <c r="A2" i="7"/>
  <c r="C2" i="7" s="1"/>
  <c r="J3" i="7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J10" i="7"/>
  <c r="L10" i="7" s="1"/>
  <c r="M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L18" i="7" s="1"/>
  <c r="M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L34" i="7" s="1"/>
  <c r="M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L41" i="7" s="1"/>
  <c r="M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L49" i="7" s="1"/>
  <c r="M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L57" i="7" s="1"/>
  <c r="M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L65" i="7" s="1"/>
  <c r="M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L73" i="7" s="1"/>
  <c r="M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L80" i="7" s="1"/>
  <c r="M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L96" i="7" s="1"/>
  <c r="M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L104" i="7" s="1"/>
  <c r="M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L112" i="7" s="1"/>
  <c r="M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L120" i="7" s="1"/>
  <c r="M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L128" i="7" s="1"/>
  <c r="M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L136" i="7" s="1"/>
  <c r="M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L144" i="7" s="1"/>
  <c r="M144" i="7" s="1"/>
  <c r="J145" i="7"/>
  <c r="K145" i="7" s="1"/>
  <c r="J146" i="7"/>
  <c r="K146" i="7" s="1"/>
  <c r="J147" i="7"/>
  <c r="K147" i="7" s="1"/>
  <c r="J148" i="7"/>
  <c r="K148" i="7" s="1"/>
  <c r="J149" i="7"/>
  <c r="K149" i="7" s="1"/>
  <c r="J2" i="7"/>
  <c r="K2" i="7" s="1"/>
  <c r="B35" i="7" l="1"/>
  <c r="B12" i="7"/>
  <c r="B11" i="7"/>
  <c r="B139" i="7"/>
  <c r="C121" i="7"/>
  <c r="B116" i="7"/>
  <c r="C57" i="7"/>
  <c r="B98" i="7"/>
  <c r="C17" i="7"/>
  <c r="B75" i="7"/>
  <c r="C10" i="7"/>
  <c r="B131" i="7"/>
  <c r="B108" i="7"/>
  <c r="B90" i="7"/>
  <c r="B67" i="7"/>
  <c r="B44" i="7"/>
  <c r="B27" i="7"/>
  <c r="B4" i="7"/>
  <c r="C97" i="7"/>
  <c r="C34" i="7"/>
  <c r="B148" i="7"/>
  <c r="B130" i="7"/>
  <c r="B107" i="7"/>
  <c r="B84" i="7"/>
  <c r="B66" i="7"/>
  <c r="B43" i="7"/>
  <c r="B21" i="7"/>
  <c r="B3" i="7"/>
  <c r="C89" i="7"/>
  <c r="C33" i="7"/>
  <c r="B147" i="7"/>
  <c r="B124" i="7"/>
  <c r="B106" i="7"/>
  <c r="B83" i="7"/>
  <c r="B60" i="7"/>
  <c r="B42" i="7"/>
  <c r="B20" i="7"/>
  <c r="C145" i="7"/>
  <c r="C81" i="7"/>
  <c r="C26" i="7"/>
  <c r="B146" i="7"/>
  <c r="B123" i="7"/>
  <c r="B100" i="7"/>
  <c r="B82" i="7"/>
  <c r="B59" i="7"/>
  <c r="B37" i="7"/>
  <c r="B19" i="7"/>
  <c r="C137" i="7"/>
  <c r="C73" i="7"/>
  <c r="C25" i="7"/>
  <c r="B140" i="7"/>
  <c r="B122" i="7"/>
  <c r="B99" i="7"/>
  <c r="B76" i="7"/>
  <c r="B58" i="7"/>
  <c r="B36" i="7"/>
  <c r="B13" i="7"/>
  <c r="C129" i="7"/>
  <c r="C65" i="7"/>
  <c r="C18" i="7"/>
  <c r="B138" i="7"/>
  <c r="B115" i="7"/>
  <c r="B92" i="7"/>
  <c r="B74" i="7"/>
  <c r="B51" i="7"/>
  <c r="B29" i="7"/>
  <c r="C113" i="7"/>
  <c r="C49" i="7"/>
  <c r="B132" i="7"/>
  <c r="B114" i="7"/>
  <c r="B91" i="7"/>
  <c r="B68" i="7"/>
  <c r="B50" i="7"/>
  <c r="B28" i="7"/>
  <c r="B5" i="7"/>
  <c r="C105" i="7"/>
  <c r="C41" i="7"/>
  <c r="C9" i="7"/>
  <c r="B143" i="7"/>
  <c r="B135" i="7"/>
  <c r="B127" i="7"/>
  <c r="B119" i="7"/>
  <c r="B111" i="7"/>
  <c r="B103" i="7"/>
  <c r="B95" i="7"/>
  <c r="B87" i="7"/>
  <c r="B79" i="7"/>
  <c r="B71" i="7"/>
  <c r="B63" i="7"/>
  <c r="B55" i="7"/>
  <c r="B47" i="7"/>
  <c r="B40" i="7"/>
  <c r="B32" i="7"/>
  <c r="B24" i="7"/>
  <c r="B16" i="7"/>
  <c r="B8" i="7"/>
  <c r="B2" i="7"/>
  <c r="B142" i="7"/>
  <c r="B134" i="7"/>
  <c r="B126" i="7"/>
  <c r="B118" i="7"/>
  <c r="B110" i="7"/>
  <c r="B102" i="7"/>
  <c r="B94" i="7"/>
  <c r="B86" i="7"/>
  <c r="B78" i="7"/>
  <c r="B70" i="7"/>
  <c r="B62" i="7"/>
  <c r="B54" i="7"/>
  <c r="B46" i="7"/>
  <c r="B39" i="7"/>
  <c r="B31" i="7"/>
  <c r="B23" i="7"/>
  <c r="B15" i="7"/>
  <c r="B7" i="7"/>
  <c r="B149" i="7"/>
  <c r="B141" i="7"/>
  <c r="B133" i="7"/>
  <c r="B125" i="7"/>
  <c r="B117" i="7"/>
  <c r="B109" i="7"/>
  <c r="B101" i="7"/>
  <c r="B93" i="7"/>
  <c r="B85" i="7"/>
  <c r="B77" i="7"/>
  <c r="B69" i="7"/>
  <c r="B61" i="7"/>
  <c r="B53" i="7"/>
  <c r="B45" i="7"/>
  <c r="B38" i="7"/>
  <c r="B30" i="7"/>
  <c r="B22" i="7"/>
  <c r="B14" i="7"/>
  <c r="B6" i="7"/>
  <c r="C144" i="7"/>
  <c r="C136" i="7"/>
  <c r="C128" i="7"/>
  <c r="C120" i="7"/>
  <c r="C112" i="7"/>
  <c r="C104" i="7"/>
  <c r="C96" i="7"/>
  <c r="C88" i="7"/>
  <c r="C80" i="7"/>
  <c r="C72" i="7"/>
  <c r="C64" i="7"/>
  <c r="C56" i="7"/>
  <c r="C48" i="7"/>
  <c r="L79" i="7"/>
  <c r="M79" i="7" s="1"/>
  <c r="L134" i="7"/>
  <c r="M134" i="7" s="1"/>
  <c r="L71" i="7"/>
  <c r="M71" i="7" s="1"/>
  <c r="L126" i="7"/>
  <c r="M126" i="7" s="1"/>
  <c r="L63" i="7"/>
  <c r="M63" i="7" s="1"/>
  <c r="L142" i="7"/>
  <c r="M142" i="7" s="1"/>
  <c r="L118" i="7"/>
  <c r="M118" i="7" s="1"/>
  <c r="L55" i="7"/>
  <c r="M55" i="7" s="1"/>
  <c r="L110" i="7"/>
  <c r="M110" i="7" s="1"/>
  <c r="L47" i="7"/>
  <c r="M47" i="7" s="1"/>
  <c r="L102" i="7"/>
  <c r="M102" i="7" s="1"/>
  <c r="L40" i="7"/>
  <c r="M40" i="7" s="1"/>
  <c r="L11" i="7"/>
  <c r="M11" i="7" s="1"/>
  <c r="L94" i="7"/>
  <c r="M94" i="7" s="1"/>
  <c r="L32" i="7"/>
  <c r="M32" i="7" s="1"/>
  <c r="L3" i="7"/>
  <c r="M3" i="7" s="1"/>
  <c r="L86" i="7"/>
  <c r="M86" i="7" s="1"/>
  <c r="L24" i="7"/>
  <c r="M24" i="7" s="1"/>
  <c r="K136" i="7"/>
  <c r="K73" i="7"/>
  <c r="K10" i="7"/>
  <c r="L149" i="7"/>
  <c r="M149" i="7" s="1"/>
  <c r="L141" i="7"/>
  <c r="M141" i="7" s="1"/>
  <c r="L133" i="7"/>
  <c r="M133" i="7" s="1"/>
  <c r="L125" i="7"/>
  <c r="M125" i="7" s="1"/>
  <c r="L117" i="7"/>
  <c r="M117" i="7" s="1"/>
  <c r="L109" i="7"/>
  <c r="M109" i="7" s="1"/>
  <c r="L101" i="7"/>
  <c r="M101" i="7" s="1"/>
  <c r="L93" i="7"/>
  <c r="M93" i="7" s="1"/>
  <c r="L85" i="7"/>
  <c r="M85" i="7" s="1"/>
  <c r="L78" i="7"/>
  <c r="M78" i="7" s="1"/>
  <c r="L70" i="7"/>
  <c r="M70" i="7" s="1"/>
  <c r="L62" i="7"/>
  <c r="M62" i="7" s="1"/>
  <c r="L54" i="7"/>
  <c r="M54" i="7" s="1"/>
  <c r="L46" i="7"/>
  <c r="M46" i="7" s="1"/>
  <c r="L39" i="7"/>
  <c r="M39" i="7" s="1"/>
  <c r="L31" i="7"/>
  <c r="M31" i="7" s="1"/>
  <c r="L23" i="7"/>
  <c r="M23" i="7" s="1"/>
  <c r="K80" i="7"/>
  <c r="K128" i="7"/>
  <c r="K65" i="7"/>
  <c r="L2" i="7"/>
  <c r="M2" i="7" s="1"/>
  <c r="L9" i="7"/>
  <c r="M9" i="7" s="1"/>
  <c r="L148" i="7"/>
  <c r="M148" i="7" s="1"/>
  <c r="L140" i="7"/>
  <c r="M140" i="7" s="1"/>
  <c r="L132" i="7"/>
  <c r="M132" i="7" s="1"/>
  <c r="L124" i="7"/>
  <c r="M124" i="7" s="1"/>
  <c r="L116" i="7"/>
  <c r="M116" i="7" s="1"/>
  <c r="L108" i="7"/>
  <c r="M108" i="7" s="1"/>
  <c r="L100" i="7"/>
  <c r="M100" i="7" s="1"/>
  <c r="L92" i="7"/>
  <c r="M92" i="7" s="1"/>
  <c r="L84" i="7"/>
  <c r="M84" i="7" s="1"/>
  <c r="L77" i="7"/>
  <c r="M77" i="7" s="1"/>
  <c r="L69" i="7"/>
  <c r="M69" i="7" s="1"/>
  <c r="L61" i="7"/>
  <c r="M61" i="7" s="1"/>
  <c r="L53" i="7"/>
  <c r="M53" i="7" s="1"/>
  <c r="L45" i="7"/>
  <c r="M45" i="7" s="1"/>
  <c r="L38" i="7"/>
  <c r="M38" i="7" s="1"/>
  <c r="L30" i="7"/>
  <c r="M30" i="7" s="1"/>
  <c r="L22" i="7"/>
  <c r="M22" i="7" s="1"/>
  <c r="K144" i="7"/>
  <c r="K18" i="7"/>
  <c r="K120" i="7"/>
  <c r="K57" i="7"/>
  <c r="L16" i="7"/>
  <c r="M16" i="7" s="1"/>
  <c r="L8" i="7"/>
  <c r="M8" i="7" s="1"/>
  <c r="L147" i="7"/>
  <c r="M147" i="7" s="1"/>
  <c r="L139" i="7"/>
  <c r="M139" i="7" s="1"/>
  <c r="L131" i="7"/>
  <c r="M131" i="7" s="1"/>
  <c r="L123" i="7"/>
  <c r="M123" i="7" s="1"/>
  <c r="L115" i="7"/>
  <c r="M115" i="7" s="1"/>
  <c r="L107" i="7"/>
  <c r="M107" i="7" s="1"/>
  <c r="L99" i="7"/>
  <c r="M99" i="7" s="1"/>
  <c r="L91" i="7"/>
  <c r="M91" i="7" s="1"/>
  <c r="L83" i="7"/>
  <c r="M83" i="7" s="1"/>
  <c r="L76" i="7"/>
  <c r="M76" i="7" s="1"/>
  <c r="L68" i="7"/>
  <c r="M68" i="7" s="1"/>
  <c r="L60" i="7"/>
  <c r="M60" i="7" s="1"/>
  <c r="L52" i="7"/>
  <c r="M52" i="7" s="1"/>
  <c r="L44" i="7"/>
  <c r="M44" i="7" s="1"/>
  <c r="L37" i="7"/>
  <c r="M37" i="7" s="1"/>
  <c r="L29" i="7"/>
  <c r="M29" i="7" s="1"/>
  <c r="L21" i="7"/>
  <c r="M21" i="7" s="1"/>
  <c r="K112" i="7"/>
  <c r="K49" i="7"/>
  <c r="L15" i="7"/>
  <c r="M15" i="7" s="1"/>
  <c r="L7" i="7"/>
  <c r="M7" i="7" s="1"/>
  <c r="L146" i="7"/>
  <c r="M146" i="7" s="1"/>
  <c r="L138" i="7"/>
  <c r="M138" i="7" s="1"/>
  <c r="L130" i="7"/>
  <c r="M130" i="7" s="1"/>
  <c r="L122" i="7"/>
  <c r="M122" i="7" s="1"/>
  <c r="L114" i="7"/>
  <c r="M114" i="7" s="1"/>
  <c r="L106" i="7"/>
  <c r="M106" i="7" s="1"/>
  <c r="L98" i="7"/>
  <c r="M98" i="7" s="1"/>
  <c r="L90" i="7"/>
  <c r="M90" i="7" s="1"/>
  <c r="L82" i="7"/>
  <c r="M82" i="7" s="1"/>
  <c r="L75" i="7"/>
  <c r="M75" i="7" s="1"/>
  <c r="L67" i="7"/>
  <c r="M67" i="7" s="1"/>
  <c r="L59" i="7"/>
  <c r="M59" i="7" s="1"/>
  <c r="L51" i="7"/>
  <c r="M51" i="7" s="1"/>
  <c r="L43" i="7"/>
  <c r="M43" i="7" s="1"/>
  <c r="L36" i="7"/>
  <c r="M36" i="7" s="1"/>
  <c r="L28" i="7"/>
  <c r="M28" i="7" s="1"/>
  <c r="L20" i="7"/>
  <c r="M20" i="7" s="1"/>
  <c r="K104" i="7"/>
  <c r="K41" i="7"/>
  <c r="L14" i="7"/>
  <c r="M14" i="7" s="1"/>
  <c r="L6" i="7"/>
  <c r="M6" i="7" s="1"/>
  <c r="L145" i="7"/>
  <c r="M145" i="7" s="1"/>
  <c r="L137" i="7"/>
  <c r="M137" i="7" s="1"/>
  <c r="L129" i="7"/>
  <c r="M129" i="7" s="1"/>
  <c r="L121" i="7"/>
  <c r="M121" i="7" s="1"/>
  <c r="L113" i="7"/>
  <c r="M113" i="7" s="1"/>
  <c r="L105" i="7"/>
  <c r="M105" i="7" s="1"/>
  <c r="L97" i="7"/>
  <c r="M97" i="7" s="1"/>
  <c r="L89" i="7"/>
  <c r="M89" i="7" s="1"/>
  <c r="L81" i="7"/>
  <c r="M81" i="7" s="1"/>
  <c r="L74" i="7"/>
  <c r="M74" i="7" s="1"/>
  <c r="L66" i="7"/>
  <c r="M66" i="7" s="1"/>
  <c r="L58" i="7"/>
  <c r="M58" i="7" s="1"/>
  <c r="L50" i="7"/>
  <c r="M50" i="7" s="1"/>
  <c r="L42" i="7"/>
  <c r="M42" i="7" s="1"/>
  <c r="L35" i="7"/>
  <c r="M35" i="7" s="1"/>
  <c r="L27" i="7"/>
  <c r="M27" i="7" s="1"/>
  <c r="L19" i="7"/>
  <c r="M19" i="7" s="1"/>
  <c r="K96" i="7"/>
  <c r="K34" i="7"/>
  <c r="L13" i="7"/>
  <c r="M13" i="7" s="1"/>
  <c r="L5" i="7"/>
  <c r="M5" i="7" s="1"/>
  <c r="L88" i="7"/>
  <c r="M88" i="7" s="1"/>
  <c r="L26" i="7"/>
  <c r="M26" i="7" s="1"/>
  <c r="L12" i="7"/>
  <c r="M12" i="7" s="1"/>
  <c r="L4" i="7"/>
  <c r="M4" i="7" s="1"/>
  <c r="L143" i="7"/>
  <c r="M143" i="7" s="1"/>
  <c r="L135" i="7"/>
  <c r="M135" i="7" s="1"/>
  <c r="L127" i="7"/>
  <c r="M127" i="7" s="1"/>
  <c r="L119" i="7"/>
  <c r="M119" i="7" s="1"/>
  <c r="L111" i="7"/>
  <c r="M111" i="7" s="1"/>
  <c r="L103" i="7"/>
  <c r="M103" i="7" s="1"/>
  <c r="L95" i="7"/>
  <c r="M95" i="7" s="1"/>
  <c r="L87" i="7"/>
  <c r="M87" i="7" s="1"/>
  <c r="L72" i="7"/>
  <c r="M72" i="7" s="1"/>
  <c r="L64" i="7"/>
  <c r="M64" i="7" s="1"/>
  <c r="L56" i="7"/>
  <c r="M56" i="7" s="1"/>
  <c r="L48" i="7"/>
  <c r="M48" i="7" s="1"/>
  <c r="L33" i="7"/>
  <c r="M33" i="7" s="1"/>
  <c r="L25" i="7"/>
  <c r="M25" i="7" s="1"/>
  <c r="L17" i="7"/>
  <c r="M17" i="7" s="1"/>
</calcChain>
</file>

<file path=xl/sharedStrings.xml><?xml version="1.0" encoding="utf-8"?>
<sst xmlns="http://schemas.openxmlformats.org/spreadsheetml/2006/main" count="1255" uniqueCount="313">
  <si>
    <t>TransactionID</t>
  </si>
  <si>
    <t>ProductID</t>
  </si>
  <si>
    <t>CustomerID</t>
  </si>
  <si>
    <t>TransactionDate</t>
  </si>
  <si>
    <t>Quantity</t>
  </si>
  <si>
    <t>Discount</t>
  </si>
  <si>
    <t>ProductName</t>
  </si>
  <si>
    <t>T0001</t>
  </si>
  <si>
    <t>Category</t>
  </si>
  <si>
    <t>UnitPrice</t>
  </si>
  <si>
    <t>C008</t>
  </si>
  <si>
    <t>P004</t>
  </si>
  <si>
    <t>P001</t>
  </si>
  <si>
    <t>2026-02-02</t>
  </si>
  <si>
    <t>Laptop</t>
  </si>
  <si>
    <t>Electronics</t>
  </si>
  <si>
    <t>T0002</t>
  </si>
  <si>
    <t>P002</t>
  </si>
  <si>
    <t>CustomerName</t>
  </si>
  <si>
    <t>C015</t>
  </si>
  <si>
    <t>Monitor</t>
  </si>
  <si>
    <t>P007</t>
  </si>
  <si>
    <t>City</t>
  </si>
  <si>
    <t>2026-03-03</t>
  </si>
  <si>
    <t>P003</t>
  </si>
  <si>
    <t>Keyboard</t>
  </si>
  <si>
    <t>CustomerType</t>
  </si>
  <si>
    <t>T0003</t>
  </si>
  <si>
    <t>Accessories</t>
  </si>
  <si>
    <t>C002</t>
  </si>
  <si>
    <t>P010</t>
  </si>
  <si>
    <t>2026-04-04</t>
  </si>
  <si>
    <t>C001</t>
  </si>
  <si>
    <t>Mouse</t>
  </si>
  <si>
    <t>T0004</t>
  </si>
  <si>
    <t>Aisha Bello</t>
  </si>
  <si>
    <t>C009</t>
  </si>
  <si>
    <t>Lagos</t>
  </si>
  <si>
    <t>Retail</t>
  </si>
  <si>
    <t>2026-05-05</t>
  </si>
  <si>
    <t>P005</t>
  </si>
  <si>
    <t>Printer</t>
  </si>
  <si>
    <t>Office Equipment</t>
  </si>
  <si>
    <t>T0005</t>
  </si>
  <si>
    <t>Daniel Okafor</t>
  </si>
  <si>
    <t>Abuja</t>
  </si>
  <si>
    <t>Corporate</t>
  </si>
  <si>
    <t>P006</t>
  </si>
  <si>
    <t>Office Chair</t>
  </si>
  <si>
    <t>C016</t>
  </si>
  <si>
    <t>C003</t>
  </si>
  <si>
    <t>Furniture</t>
  </si>
  <si>
    <t>Mariam Yusuf</t>
  </si>
  <si>
    <t>2026-06-06</t>
  </si>
  <si>
    <t>Kano</t>
  </si>
  <si>
    <t>T0006</t>
  </si>
  <si>
    <t>Desk</t>
  </si>
  <si>
    <t>C004</t>
  </si>
  <si>
    <t>P009</t>
  </si>
  <si>
    <t>Chinedu Obi</t>
  </si>
  <si>
    <t>2026-01-07</t>
  </si>
  <si>
    <t>Port Harcourt</t>
  </si>
  <si>
    <t>P008</t>
  </si>
  <si>
    <t>Headset</t>
  </si>
  <si>
    <t>T0007</t>
  </si>
  <si>
    <t>C005</t>
  </si>
  <si>
    <t>C010</t>
  </si>
  <si>
    <t>Grace Eze</t>
  </si>
  <si>
    <t>Benin City</t>
  </si>
  <si>
    <t>Tablet</t>
  </si>
  <si>
    <t>2026-02-08</t>
  </si>
  <si>
    <t>C006</t>
  </si>
  <si>
    <t>T0008</t>
  </si>
  <si>
    <t>External Drive</t>
  </si>
  <si>
    <t>Samuel Adeyemi</t>
  </si>
  <si>
    <t>C017</t>
  </si>
  <si>
    <t>Ibadan</t>
  </si>
  <si>
    <t>Wholesale</t>
  </si>
  <si>
    <t>2026-03-09</t>
  </si>
  <si>
    <t>C007</t>
  </si>
  <si>
    <t>Fatima Musa</t>
  </si>
  <si>
    <t>Kaduna</t>
  </si>
  <si>
    <t>T0009</t>
  </si>
  <si>
    <t>2026-04-10</t>
  </si>
  <si>
    <t>Emeka Nwosu</t>
  </si>
  <si>
    <t>Enugu</t>
  </si>
  <si>
    <t>T0010</t>
  </si>
  <si>
    <t>Blessing Ojo</t>
  </si>
  <si>
    <t>2026-05-11</t>
  </si>
  <si>
    <t>T0011</t>
  </si>
  <si>
    <t>Ibrahim Sani</t>
  </si>
  <si>
    <t>C018</t>
  </si>
  <si>
    <t>2026-06-12</t>
  </si>
  <si>
    <t>T0012</t>
  </si>
  <si>
    <t>C011</t>
  </si>
  <si>
    <t>Esther James</t>
  </si>
  <si>
    <t>2026-01-13</t>
  </si>
  <si>
    <t>Warri</t>
  </si>
  <si>
    <t>C012</t>
  </si>
  <si>
    <t>T0013</t>
  </si>
  <si>
    <t>David Umeh</t>
  </si>
  <si>
    <t>Asaba</t>
  </si>
  <si>
    <t>2026-02-14</t>
  </si>
  <si>
    <t>C013</t>
  </si>
  <si>
    <t>Joy Akpan</t>
  </si>
  <si>
    <t>T0014</t>
  </si>
  <si>
    <t>Uyo</t>
  </si>
  <si>
    <t>C019</t>
  </si>
  <si>
    <t>2026-03-15</t>
  </si>
  <si>
    <t>C014</t>
  </si>
  <si>
    <t>Michael Joseph</t>
  </si>
  <si>
    <t>Calabar</t>
  </si>
  <si>
    <t>T0015</t>
  </si>
  <si>
    <t>Ruth Daniel</t>
  </si>
  <si>
    <t>2026-04-16</t>
  </si>
  <si>
    <t>T0016</t>
  </si>
  <si>
    <t>Peter Williams</t>
  </si>
  <si>
    <t>Abeokuta</t>
  </si>
  <si>
    <t>2026-05-17</t>
  </si>
  <si>
    <t>T0017</t>
  </si>
  <si>
    <t>Hauwa Ali</t>
  </si>
  <si>
    <t>C020</t>
  </si>
  <si>
    <t>2026-06-18</t>
  </si>
  <si>
    <t>T0018</t>
  </si>
  <si>
    <t>Kelvin George</t>
  </si>
  <si>
    <t>2026-01-19</t>
  </si>
  <si>
    <t>Mercy John</t>
  </si>
  <si>
    <t>T0019</t>
  </si>
  <si>
    <t>2026-02-20</t>
  </si>
  <si>
    <t>Tunde Adebayo</t>
  </si>
  <si>
    <t>T0020</t>
  </si>
  <si>
    <t>2026-03-21</t>
  </si>
  <si>
    <t>T0021</t>
  </si>
  <si>
    <t>2026-04-22</t>
  </si>
  <si>
    <t>T0022</t>
  </si>
  <si>
    <t>2026-05-23</t>
  </si>
  <si>
    <t>T0023</t>
  </si>
  <si>
    <t>2026-06-24</t>
  </si>
  <si>
    <t>T0024</t>
  </si>
  <si>
    <t>2026-01-25</t>
  </si>
  <si>
    <t>T0025</t>
  </si>
  <si>
    <t>2026-02-26</t>
  </si>
  <si>
    <t>T0026</t>
  </si>
  <si>
    <t>2026-03-27</t>
  </si>
  <si>
    <t>T0027</t>
  </si>
  <si>
    <t>2026-04-01</t>
  </si>
  <si>
    <t>T0028</t>
  </si>
  <si>
    <t>2026-05-02</t>
  </si>
  <si>
    <t>T0029</t>
  </si>
  <si>
    <t>2026-06-03</t>
  </si>
  <si>
    <t>T0030</t>
  </si>
  <si>
    <t>2026-01-04</t>
  </si>
  <si>
    <t>T0031</t>
  </si>
  <si>
    <t>2026-02-05</t>
  </si>
  <si>
    <t>T0032</t>
  </si>
  <si>
    <t>2026-03-06</t>
  </si>
  <si>
    <t>T0033</t>
  </si>
  <si>
    <t>2026-04-07</t>
  </si>
  <si>
    <t>T0034</t>
  </si>
  <si>
    <t>2026-05-08</t>
  </si>
  <si>
    <t>T0035</t>
  </si>
  <si>
    <t>2026-06-09</t>
  </si>
  <si>
    <t>T0036</t>
  </si>
  <si>
    <t>2026-01-10</t>
  </si>
  <si>
    <t>T0037</t>
  </si>
  <si>
    <t>2026-02-11</t>
  </si>
  <si>
    <t>T0038</t>
  </si>
  <si>
    <t>2026-03-12</t>
  </si>
  <si>
    <t>T0039</t>
  </si>
  <si>
    <t>2026-04-13</t>
  </si>
  <si>
    <t>T0040</t>
  </si>
  <si>
    <t>C999</t>
  </si>
  <si>
    <t>2026-05-14</t>
  </si>
  <si>
    <t>T0041</t>
  </si>
  <si>
    <t>2026-06-15</t>
  </si>
  <si>
    <t>T0042</t>
  </si>
  <si>
    <t>2026-01-16</t>
  </si>
  <si>
    <t>T0043</t>
  </si>
  <si>
    <t>2026-02-17</t>
  </si>
  <si>
    <t>T0044</t>
  </si>
  <si>
    <t>2026-03-18</t>
  </si>
  <si>
    <t>T0045</t>
  </si>
  <si>
    <t>2026-04-19</t>
  </si>
  <si>
    <t>T0046</t>
  </si>
  <si>
    <t>2026-05-20</t>
  </si>
  <si>
    <t>T0047</t>
  </si>
  <si>
    <t>2026-06-21</t>
  </si>
  <si>
    <t>T0048</t>
  </si>
  <si>
    <t>2026-01-22</t>
  </si>
  <si>
    <t>T0049</t>
  </si>
  <si>
    <t>2026-02-23</t>
  </si>
  <si>
    <t>T0050</t>
  </si>
  <si>
    <t>2026-03-24</t>
  </si>
  <si>
    <t>T0051</t>
  </si>
  <si>
    <t>2026-04-25</t>
  </si>
  <si>
    <t>T0052</t>
  </si>
  <si>
    <t>2026-05-26</t>
  </si>
  <si>
    <t>T0053</t>
  </si>
  <si>
    <t>2026-06-27</t>
  </si>
  <si>
    <t>T0054</t>
  </si>
  <si>
    <t>2026-01-01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</si>
  <si>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</si>
  <si>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</si>
  <si>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</si>
  <si>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</si>
  <si>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</si>
  <si>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</si>
  <si>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</si>
  <si>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</si>
  <si>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</si>
  <si>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</si>
  <si>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</si>
  <si>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</si>
  <si>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</si>
  <si>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</si>
  <si>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</si>
  <si>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</si>
  <si>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</si>
  <si>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</si>
  <si>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</si>
  <si>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</si>
  <si>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</si>
  <si>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</si>
  <si>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</si>
  <si>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</si>
  <si>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</si>
  <si>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</si>
  <si>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P999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</si>
  <si>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</si>
  <si>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</si>
  <si>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</si>
  <si>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</si>
  <si>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</si>
  <si>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</si>
  <si>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</si>
  <si>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</si>
  <si>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</si>
  <si>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</si>
  <si>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</si>
  <si>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</si>
  <si>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</si>
  <si>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</si>
  <si>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</si>
  <si>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</si>
  <si>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</si>
  <si>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</si>
  <si>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</si>
  <si>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</si>
  <si>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</si>
  <si>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</si>
  <si>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</si>
  <si>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</si>
  <si>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</si>
  <si>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</si>
  <si>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</si>
  <si>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</si>
  <si>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</si>
  <si>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</si>
  <si>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</si>
  <si>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</si>
  <si>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</si>
  <si>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</si>
  <si>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</si>
  <si>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</si>
  <si>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</si>
  <si>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</si>
  <si>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</si>
  <si>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</si>
  <si>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</si>
  <si>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</si>
  <si>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</si>
  <si>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</si>
  <si>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</si>
  <si>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</si>
  <si>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</si>
  <si>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</si>
  <si>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</si>
  <si>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</si>
  <si>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</si>
  <si>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</si>
  <si>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</si>
  <si>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</si>
  <si>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</si>
  <si>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</si>
  <si>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</si>
  <si>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</si>
  <si>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</si>
  <si>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</si>
  <si>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</si>
  <si>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</si>
  <si>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</si>
  <si>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</si>
  <si>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</si>
  <si>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</si>
  <si>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</si>
  <si>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</si>
  <si>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</si>
  <si>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</si>
  <si>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Customer Name</t>
  </si>
  <si>
    <t>Customer Type</t>
  </si>
  <si>
    <t>Product Name</t>
  </si>
  <si>
    <t>Unit Price</t>
  </si>
  <si>
    <t>Total Sales</t>
  </si>
  <si>
    <t>Grand Total</t>
  </si>
  <si>
    <t>Sum of Total Sales</t>
  </si>
  <si>
    <t>Product</t>
  </si>
  <si>
    <t>Transcation Date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</si>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</sst>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[$$-409]* #,##0_ ;_-[$$-409]* \-#,##0\ ;_-[$$-409]* &quot;-&quot;_ ;_-@_ "/>
    <numFmt numFmtId="165" formatCode="[$]d\ mmmm\ yyyy;@" x16r2:formatCode16="[$-en-NG,1]d\ mmmm\ 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41" fontId="3" fillId="0" borderId="1" xfId="1" applyNumberFormat="1" applyFont="1" applyBorder="1" applyAlignment="1">
      <alignment horizontal="center" vertical="top"/>
    </xf>
    <xf numFmtId="41" fontId="4" fillId="0" borderId="0" xfId="1" applyNumberFormat="1" applyFont="1"/>
    <xf numFmtId="0" fontId="2" fillId="0" borderId="0" xfId="0" applyFont="1"/>
    <xf numFmtId="9" fontId="3" fillId="0" borderId="1" xfId="2" applyFont="1" applyBorder="1" applyAlignment="1">
      <alignment horizontal="center" vertical="top"/>
    </xf>
    <xf numFmtId="9" fontId="4" fillId="0" borderId="0" xfId="2" applyFont="1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1" fillId="0" borderId="0" xfId="0" applyFont="1"/>
    <xf numFmtId="0" fontId="5" fillId="0" borderId="2" xfId="0" applyFont="1" applyBorder="1" applyAlignment="1">
      <alignment horizontal="center" vertical="top"/>
    </xf>
    <xf numFmtId="164" fontId="1" fillId="0" borderId="0" xfId="0" applyNumberFormat="1" applyFont="1"/>
    <xf numFmtId="0" fontId="5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3" fillId="0" borderId="1" xfId="0" applyNumberFormat="1" applyFont="1" applyBorder="1" applyAlignment="1">
      <alignment horizontal="center" vertical="top"/>
    </xf>
    <xf numFmtId="165" fontId="4" fillId="0" borderId="0" xfId="0" applyNumberFormat="1" applyFont="1"/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[Task_1.xlsx]pivout table!PivotTable24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</a:rPr>
              <a:t>REVENUE</a:t>
            </a:r>
            <a:r>
              <a:rPr lang="en-US" b="1" baseline="0">
                <a:solidFill>
                  <a:schemeClr val="accent2">
                    <a:lumMod val="50000"/>
                  </a:schemeClr>
                </a:solidFill>
              </a:rPr>
              <a:t> BY PRODUCT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3668416447944005"/>
          <c:y val="2.3670206361819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03688354745131"/>
          <c:y val="0.14201930767237786"/>
          <c:w val="0.71244032731202722"/>
          <c:h val="0.733413277468756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'pivout table'!$J$3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'pivout table'!$I$4:$I$14</c:f>
              <c:strCache>
                <c:ptCount val="10"/>
                <c:pt idx="0">
                  <c:v>Monitor</c:v>
                </c:pt>
                <c:pt idx="1">
                  <c:v>Printer</c:v>
                </c:pt>
                <c:pt idx="2">
                  <c:v>Tablet</c:v>
                </c:pt>
                <c:pt idx="3">
                  <c:v>Desk</c:v>
                </c:pt>
                <c:pt idx="4">
                  <c:v>Laptop</c:v>
                </c:pt>
                <c:pt idx="5">
                  <c:v>External Drive</c:v>
                </c:pt>
                <c:pt idx="6">
                  <c:v>Headset</c:v>
                </c:pt>
                <c:pt idx="7">
                  <c:v>Office Chair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'pivout table'!$J$4:$J$14</c:f>
              <c:numCache>
                <c:formatCode>_-[$$-409]* #,##0_ ;_-[$$-409]* \-#,##0\ ;_-[$$-409]* "-"_ ;_-@_ </c:formatCode>
                <c:ptCount val="10"/>
                <c:pt idx="0">
                  <c:v>7992000</c:v>
                </c:pt>
                <c:pt idx="1">
                  <c:v>7104000</c:v>
                </c:pt>
                <c:pt idx="2">
                  <c:v>6512000</c:v>
                </c:pt>
                <c:pt idx="3">
                  <c:v>6174000</c:v>
                </c:pt>
                <c:pt idx="4">
                  <c:v>6120000</c:v>
                </c:pt>
                <c:pt idx="5">
                  <c:v>4410000</c:v>
                </c:pt>
                <c:pt idx="6">
                  <c:v>1850000</c:v>
                </c:pt>
                <c:pt idx="7">
                  <c:v>1406000</c:v>
                </c:pt>
                <c:pt idx="8">
                  <c:v>1110000</c:v>
                </c:pt>
                <c:pt idx="9">
                  <c:v>235200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1-472A-9397-0003DB3029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2018192"/>
        <c:axId val="239125904"/>
      </c:barChart>
      <c:catAx>
        <c:axId val="32201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9125904"/>
        <c:crosses val="autoZero"/>
        <c:auto val="1"/>
        <c:lblAlgn val="ctr"/>
        <c:lblOffset val="100"/>
        <c:noMultiLvlLbl val="0"/>
      </c:catAx>
      <c:valAx>
        <c:axId val="239125904"/>
        <c:scaling>
          <c:orientation val="minMax"/>
        </c:scaling>
        <c:delete val="0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201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[Task_1.xlsx]pivout table!PivotTable23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ln>
                  <a:noFill/>
                </a:ln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n>
                  <a:noFill/>
                </a:ln>
                <a:solidFill>
                  <a:schemeClr val="accent2">
                    <a:lumMod val="50000"/>
                  </a:schemeClr>
                </a:solidFill>
              </a:rPr>
              <a:t>REVENUE</a:t>
            </a:r>
            <a:r>
              <a:rPr lang="en-US" sz="1400" b="1" baseline="0">
                <a:ln>
                  <a:noFill/>
                </a:ln>
                <a:solidFill>
                  <a:schemeClr val="accent2">
                    <a:lumMod val="50000"/>
                  </a:schemeClr>
                </a:solidFill>
              </a:rPr>
              <a:t> BY CITY</a:t>
            </a:r>
            <a:endParaRPr lang="en-US" sz="1400" b="1">
              <a:ln>
                <a:noFill/>
              </a:ln>
              <a:solidFill>
                <a:schemeClr val="accent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645454502743572"/>
          <c:y val="2.2598082740996783E-2"/>
        </c:manualLayout>
      </c:layout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ln>
                <a:noFill/>
              </a:ln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56261717285336"/>
          <c:y val="0.1432403014207603"/>
          <c:w val="0.75765898012748412"/>
          <c:h val="0.55350217586438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'pivout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'pivout table'!$E$4:$E$17</c:f>
              <c:strCache>
                <c:ptCount val="13"/>
                <c:pt idx="0">
                  <c:v>Kano</c:v>
                </c:pt>
                <c:pt idx="1">
                  <c:v>Abuja</c:v>
                </c:pt>
                <c:pt idx="2">
                  <c:v>Lagos</c:v>
                </c:pt>
                <c:pt idx="3">
                  <c:v>Ibadan</c:v>
                </c:pt>
                <c:pt idx="4">
                  <c:v>Benin City</c:v>
                </c:pt>
                <c:pt idx="5">
                  <c:v>Kaduna</c:v>
                </c:pt>
                <c:pt idx="6">
                  <c:v>Warri</c:v>
                </c:pt>
                <c:pt idx="7">
                  <c:v>Uyo</c:v>
                </c:pt>
                <c:pt idx="8">
                  <c:v>Asaba</c:v>
                </c:pt>
                <c:pt idx="9">
                  <c:v>Port Harcourt</c:v>
                </c:pt>
                <c:pt idx="10">
                  <c:v>Calabar</c:v>
                </c:pt>
                <c:pt idx="11">
                  <c:v>Abeokuta</c:v>
                </c:pt>
                <c:pt idx="12">
                  <c:v>Enugu</c:v>
                </c:pt>
              </c:strCache>
            </c:strRef>
          </c:cat>
          <c:val>
            <c:numRef>
              <c:f>'pivout table'!$F$4:$F$17</c:f>
              <c:numCache>
                <c:formatCode>_-[$$-409]* #,##0_ ;_-[$$-409]* \-#,##0\ ;_-[$$-409]* "-"_ ;_-@_ </c:formatCode>
                <c:ptCount val="13"/>
                <c:pt idx="0">
                  <c:v>7222000</c:v>
                </c:pt>
                <c:pt idx="1">
                  <c:v>7071000</c:v>
                </c:pt>
                <c:pt idx="2">
                  <c:v>6473250</c:v>
                </c:pt>
                <c:pt idx="3">
                  <c:v>4376750</c:v>
                </c:pt>
                <c:pt idx="4">
                  <c:v>3398250</c:v>
                </c:pt>
                <c:pt idx="5">
                  <c:v>3336000</c:v>
                </c:pt>
                <c:pt idx="6">
                  <c:v>3082500</c:v>
                </c:pt>
                <c:pt idx="7">
                  <c:v>3058000</c:v>
                </c:pt>
                <c:pt idx="8">
                  <c:v>2055000</c:v>
                </c:pt>
                <c:pt idx="9">
                  <c:v>1103350</c:v>
                </c:pt>
                <c:pt idx="10">
                  <c:v>856250</c:v>
                </c:pt>
                <c:pt idx="11">
                  <c:v>755250</c:v>
                </c:pt>
                <c:pt idx="12">
                  <c:v>125600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2-40CE-A4B5-F54564085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31616"/>
        <c:axId val="239088944"/>
      </c:barChart>
      <c:catAx>
        <c:axId val="1866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9088944"/>
        <c:crosses val="autoZero"/>
        <c:auto val="1"/>
        <c:lblAlgn val="ctr"/>
        <c:lblOffset val="100"/>
        <c:noMultiLvlLbl val="0"/>
      </c:catAx>
      <c:valAx>
        <c:axId val="239088944"/>
        <c:scaling>
          <c:orientation val="minMax"/>
        </c:scaling>
        <c:delete val="0"/>
        <c:axPos val="l"/>
        <c:numFmt formatCode="_-[$$-409]* #,##0_ ;_-[$$-409]* \-#,##0\ ;_-[$$-409]* &quot;-&quot;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663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[Task_1.xlsx]pivout table!PivotTable28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50000"/>
                  </a:schemeClr>
                </a:solidFill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2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2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2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'pivout table'!$N$12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2A6-43C7-AB35-12091BF857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2A6-43C7-AB35-12091BF857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2A6-43C7-AB35-12091BF8576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2A6-43C7-AB35-12091BF857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'pivout table'!$M$13:$M$17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Equipment</c:v>
                </c:pt>
                <c:pt idx="3">
                  <c:v>Accessories</c:v>
                </c:pt>
              </c:strCache>
            </c:strRef>
          </c:cat>
          <c:val>
            <c:numRef>
              <c:f>'pivout table'!$N$13:$N$17</c:f>
              <c:numCache>
                <c:formatCode>_-[$$-409]* #,##0_ ;_-[$$-409]* \-#,##0\ ;_-[$$-409]* "-"_ ;_-@_ </c:formatCode>
                <c:ptCount val="4"/>
                <c:pt idx="0">
                  <c:v>25034000</c:v>
                </c:pt>
                <c:pt idx="1">
                  <c:v>7580000</c:v>
                </c:pt>
                <c:pt idx="2">
                  <c:v>7104000</c:v>
                </c:pt>
                <c:pt idx="3">
                  <c:v>3195200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A6-43C7-AB35-12091BF857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82463980936327"/>
          <c:y val="0.3951868560142161"/>
          <c:w val="0.28005820670923476"/>
          <c:h val="0.47553601481866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[Task_1.xlsx]pivout table!PivotTable26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</a:rPr>
              <a:t>MONTHLY</a:t>
            </a:r>
            <a:r>
              <a:rPr lang="en-US" b="1" baseline="0">
                <a:solidFill>
                  <a:schemeClr val="accent2">
                    <a:lumMod val="50000"/>
                  </a:schemeClr>
                </a:solidFill>
              </a:rPr>
              <a:t> REVENUE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6844219362447533"/>
          <c:y val="3.3146786403765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24247975714445"/>
          <c:y val="0.22240571639571668"/>
          <c:w val="0.60784653596152827"/>
          <c:h val="0.49380317954552261"/>
        </c:manualLayout>
      </c:layout>
      <c:lineChart>
        <c:grouping val="standard"/>
        <c:varyColors val="0"/>
        <c:ser>
          <c:idx val="0"/>
          <c:order val="0"/>
          <c:tx>
            <c:strRef>
              <c:f>'pivout table'!$N$3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'pivout table'!$M$4:$M$10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'pivout table'!$N$4:$N$10</c:f>
              <c:numCache>
                <c:formatCode>_-[$$-409]* #,##0_ ;_-[$$-409]* \-#,##0\ ;_-[$$-409]* "-"_ ;_-@_ </c:formatCode>
                <c:ptCount val="6"/>
                <c:pt idx="0">
                  <c:v>9642250</c:v>
                </c:pt>
                <c:pt idx="1">
                  <c:v>5319850</c:v>
                </c:pt>
                <c:pt idx="2">
                  <c:v>8660250</c:v>
                </c:pt>
                <c:pt idx="3">
                  <c:v>5289950</c:v>
                </c:pt>
                <c:pt idx="4">
                  <c:v>8717500</c:v>
                </c:pt>
                <c:pt idx="5">
                  <c:v>5283400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3-4F4C-895C-05643FBB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529168"/>
        <c:axId val="239091344"/>
      </c:lineChart>
      <c:catAx>
        <c:axId val="34152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9091344"/>
        <c:crosses val="autoZero"/>
        <c:auto val="1"/>
        <c:lblAlgn val="ctr"/>
        <c:lblOffset val="100"/>
        <c:noMultiLvlLbl val="0"/>
      </c:catAx>
      <c:valAx>
        <c:axId val="2390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15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171450</xdr:rowOff>
    </xdr:from>
    <xdr:to>
      <xdr:col>7</xdr:col>
      <xdr:colOff>590550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E7DA9-D88E-42FE-B111-7F1770BBB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18</xdr:row>
      <xdr:rowOff>9526</xdr:rowOff>
    </xdr:from>
    <xdr:to>
      <xdr:col>19</xdr:col>
      <xdr:colOff>314326</xdr:colOff>
      <xdr:row>29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9B6550-CCAF-4732-8B1B-B6C76BCD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66673</xdr:colOff>
      <xdr:row>18</xdr:row>
      <xdr:rowOff>66675</xdr:rowOff>
    </xdr:from>
    <xdr:to>
      <xdr:col>9</xdr:col>
      <xdr:colOff>238124</xdr:colOff>
      <xdr:row>30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962A55-5CC4-4ED7-BD64-56028490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171451</xdr:colOff>
      <xdr:row>6</xdr:row>
      <xdr:rowOff>19051</xdr:rowOff>
    </xdr:from>
    <xdr:to>
      <xdr:col>15</xdr:col>
      <xdr:colOff>228601</xdr:colOff>
      <xdr:row>17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26515A-F4E4-435E-A93A-B3CEB6C89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504824</xdr:colOff>
      <xdr:row>0</xdr:row>
      <xdr:rowOff>19049</xdr:rowOff>
    </xdr:from>
    <xdr:to>
      <xdr:col>20</xdr:col>
      <xdr:colOff>352423</xdr:colOff>
      <xdr:row>5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4C75A46-2C91-DA39-0506-427640415719}"/>
            </a:ext>
          </a:extLst>
        </xdr:cNvPr>
        <xdr:cNvSpPr/>
      </xdr:nvSpPr>
      <xdr:spPr>
        <a:xfrm>
          <a:off x="10258424" y="19049"/>
          <a:ext cx="2285999" cy="97155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$289,954</a:t>
          </a:r>
        </a:p>
        <a:p>
          <a:pPr algn="l"/>
          <a:endParaRPr lang="en-US" sz="1400" b="1"/>
        </a:p>
        <a:p>
          <a:pPr algn="l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Average Transcation Value</a:t>
          </a:r>
          <a:endParaRPr lang="en-NG" sz="1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581025</xdr:colOff>
      <xdr:row>0</xdr:row>
      <xdr:rowOff>28575</xdr:rowOff>
    </xdr:from>
    <xdr:to>
      <xdr:col>9</xdr:col>
      <xdr:colOff>571500</xdr:colOff>
      <xdr:row>4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A7D9A62-31C2-48C4-AE1C-00F24580EAF5}"/>
            </a:ext>
          </a:extLst>
        </xdr:cNvPr>
        <xdr:cNvSpPr/>
      </xdr:nvSpPr>
      <xdr:spPr>
        <a:xfrm>
          <a:off x="4238625" y="28575"/>
          <a:ext cx="1819275" cy="9144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NG" sz="18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42,913,200</a:t>
          </a:r>
          <a:endParaRPr lang="en-US" sz="1800" b="1" i="0" u="none" strike="noStrike">
            <a:solidFill>
              <a:schemeClr val="accent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4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4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400" b="1" i="0" u="none" strike="noStrike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Revenue</a:t>
          </a:r>
          <a:r>
            <a:rPr lang="en-NG" sz="11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endParaRPr lang="en-NG" sz="11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57151</xdr:colOff>
      <xdr:row>0</xdr:row>
      <xdr:rowOff>38100</xdr:rowOff>
    </xdr:from>
    <xdr:to>
      <xdr:col>13</xdr:col>
      <xdr:colOff>180975</xdr:colOff>
      <xdr:row>5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5D5B30D-DCFE-45C7-83D1-DD6A3CC80946}"/>
            </a:ext>
          </a:extLst>
        </xdr:cNvPr>
        <xdr:cNvSpPr/>
      </xdr:nvSpPr>
      <xdr:spPr>
        <a:xfrm>
          <a:off x="6153151" y="38100"/>
          <a:ext cx="1952624" cy="92392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148</a:t>
          </a:r>
        </a:p>
        <a:p>
          <a:pPr algn="ctr"/>
          <a:endParaRPr lang="en-US" sz="1400" b="1">
            <a:solidFill>
              <a:schemeClr val="accent2">
                <a:lumMod val="50000"/>
              </a:schemeClr>
            </a:solidFill>
          </a:endParaRPr>
        </a:p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Total</a:t>
          </a:r>
          <a:r>
            <a:rPr lang="en-US" sz="1400" b="1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Transcations</a:t>
          </a:r>
          <a:endParaRPr lang="en-NG" sz="1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295275</xdr:colOff>
      <xdr:row>0</xdr:row>
      <xdr:rowOff>38100</xdr:rowOff>
    </xdr:from>
    <xdr:to>
      <xdr:col>16</xdr:col>
      <xdr:colOff>371475</xdr:colOff>
      <xdr:row>5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A0B35A8-5D03-43F8-B446-B5F000CD188B}"/>
            </a:ext>
          </a:extLst>
        </xdr:cNvPr>
        <xdr:cNvSpPr/>
      </xdr:nvSpPr>
      <xdr:spPr>
        <a:xfrm>
          <a:off x="8220075" y="38100"/>
          <a:ext cx="1905000" cy="952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449</a:t>
          </a:r>
        </a:p>
        <a:p>
          <a:pPr algn="ctr"/>
          <a:endParaRPr lang="en-US" sz="1400" b="1">
            <a:solidFill>
              <a:schemeClr val="accent2">
                <a:lumMod val="50000"/>
              </a:schemeClr>
            </a:solidFill>
          </a:endParaRPr>
        </a:p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Quantity Sold</a:t>
          </a:r>
          <a:endParaRPr lang="en-NG" sz="1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0</xdr:row>
      <xdr:rowOff>0</xdr:rowOff>
    </xdr:from>
    <xdr:to>
      <xdr:col>6</xdr:col>
      <xdr:colOff>38100</xdr:colOff>
      <xdr:row>5</xdr:row>
      <xdr:rowOff>85724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A27102E-BDE3-D06C-5B16-3A6E254B89FA}"/>
            </a:ext>
          </a:extLst>
        </xdr:cNvPr>
        <xdr:cNvSpPr/>
      </xdr:nvSpPr>
      <xdr:spPr>
        <a:xfrm>
          <a:off x="57150" y="0"/>
          <a:ext cx="3638550" cy="103822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SALES PERFORMANCE DASHBOARD</a:t>
          </a:r>
        </a:p>
        <a:p>
          <a:pPr algn="l"/>
          <a:endParaRPr lang="en-US" sz="1800" b="1">
            <a:solidFill>
              <a:schemeClr val="accent2">
                <a:lumMod val="50000"/>
              </a:schemeClr>
            </a:solidFill>
          </a:endParaRPr>
        </a:p>
        <a:p>
          <a:pPr algn="l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 IHEANACHO</a:t>
          </a:r>
          <a:r>
            <a:rPr lang="en-US" sz="1800" b="1" baseline="0">
              <a:solidFill>
                <a:schemeClr val="accent2">
                  <a:lumMod val="50000"/>
                </a:schemeClr>
              </a:solidFill>
            </a:rPr>
            <a:t> CHINAENYE OGBU</a:t>
          </a:r>
        </a:p>
        <a:p>
          <a:pPr algn="l"/>
          <a:endParaRPr lang="en-US" sz="1600" baseline="0"/>
        </a:p>
        <a:p>
          <a:pPr algn="l"/>
          <a:endParaRPr lang="en-NG" sz="1600"/>
        </a:p>
      </xdr:txBody>
    </xdr:sp>
    <xdr:clientData/>
  </xdr:twoCellAnchor>
  <xdr:twoCellAnchor>
    <xdr:from>
      <xdr:col>15</xdr:col>
      <xdr:colOff>371476</xdr:colOff>
      <xdr:row>6</xdr:row>
      <xdr:rowOff>19051</xdr:rowOff>
    </xdr:from>
    <xdr:to>
      <xdr:col>20</xdr:col>
      <xdr:colOff>247650</xdr:colOff>
      <xdr:row>17</xdr:row>
      <xdr:rowOff>57151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9FB84762-1125-4FAC-DD71-9FB6F719FCBB}"/>
            </a:ext>
          </a:extLst>
        </xdr:cNvPr>
        <xdr:cNvSpPr/>
      </xdr:nvSpPr>
      <xdr:spPr>
        <a:xfrm>
          <a:off x="9515476" y="1162051"/>
          <a:ext cx="2924174" cy="2133600"/>
        </a:xfrm>
        <a:prstGeom prst="round2Diag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accent2">
                  <a:lumMod val="50000"/>
                </a:schemeClr>
              </a:solidFill>
            </a:rPr>
            <a:t>KEY INIGHT</a:t>
          </a:r>
          <a:endParaRPr lang="en-US" sz="1200" b="0">
            <a:solidFill>
              <a:schemeClr val="accent2">
                <a:lumMod val="50000"/>
              </a:schemeClr>
            </a:solidFill>
          </a:endParaRPr>
        </a:p>
        <a:p>
          <a:pPr algn="l"/>
          <a:r>
            <a:rPr lang="en-US" sz="1200" b="0">
              <a:solidFill>
                <a:schemeClr val="accent2">
                  <a:lumMod val="50000"/>
                </a:schemeClr>
              </a:solidFill>
            </a:rPr>
            <a:t>Electronics</a:t>
          </a:r>
          <a:r>
            <a:rPr lang="en-US" sz="1200" b="0" baseline="0">
              <a:solidFill>
                <a:schemeClr val="accent2">
                  <a:lumMod val="50000"/>
                </a:schemeClr>
              </a:solidFill>
            </a:rPr>
            <a:t> is the main revenue driver generating $25.03M, which accounts for approximately 58.3% of total revenue.</a:t>
          </a:r>
        </a:p>
        <a:p>
          <a:pPr algn="l"/>
          <a:r>
            <a:rPr lang="en-US" sz="1200" b="0" baseline="0">
              <a:solidFill>
                <a:schemeClr val="accent2">
                  <a:lumMod val="50000"/>
                </a:schemeClr>
              </a:solidFill>
            </a:rPr>
            <a:t>Revenue fluctuates significantly month-to-month.</a:t>
          </a:r>
        </a:p>
        <a:p>
          <a:pPr algn="l"/>
          <a:r>
            <a:rPr lang="en-US" sz="1200" b="0" baseline="0">
              <a:solidFill>
                <a:schemeClr val="accent2">
                  <a:lumMod val="50000"/>
                </a:schemeClr>
              </a:solidFill>
            </a:rPr>
            <a:t>Sales are concentrated around the leading cities ,Kano, Abuja appears to generate the highest city-level revenue.</a:t>
          </a:r>
        </a:p>
        <a:p>
          <a:pPr algn="l"/>
          <a:endParaRPr lang="en-US" sz="1200" b="0" baseline="0">
            <a:solidFill>
              <a:schemeClr val="accent2">
                <a:lumMod val="50000"/>
              </a:schemeClr>
            </a:solidFill>
          </a:endParaRPr>
        </a:p>
        <a:p>
          <a:pPr algn="l"/>
          <a:endParaRPr lang="en-US" sz="1200" b="0">
            <a:solidFill>
              <a:schemeClr val="accent2">
                <a:lumMod val="50000"/>
              </a:schemeClr>
            </a:solidFill>
          </a:endParaRPr>
        </a:p>
        <a:p>
          <a:pPr algn="ctr"/>
          <a:endParaRPr lang="en-US" sz="1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TH" refreshedDate="46295.047164351854" createdVersion="8" refreshedVersion="8" minRefreshableVersion="3" recordCount="148" xr:uid="{24FB3AC2-48E1-4C38-8FE6-AA9A3F7BDA67}">
  <cacheSource type="worksheet">
    <worksheetSource ref="A1:M149" sheet="CLEANED DATA"/>
  </cacheSource>
  <cacheFields count="15">
    <cacheField name="Customer Name" numFmtId="0">
      <sharedItems count="20">
        <s v="Emeka Nwosu"/>
        <s v="Ruth Daniel"/>
        <s v="Daniel Okafor"/>
        <s v="Blessing Ojo"/>
        <s v="Peter Williams"/>
        <s v="Mariam Yusuf"/>
        <s v="Ibrahim Sani"/>
        <s v="Hauwa Ali"/>
        <s v="Chinedu Obi"/>
        <s v="Kelvin George"/>
        <s v="Grace Eze"/>
        <s v="David Umeh"/>
        <s v="Mercy John"/>
        <s v="Samuel Adeyemi"/>
        <s v="Joy Akpan"/>
        <s v="Tunde Adebayo"/>
        <s v="Fatima Musa"/>
        <s v="Michael Joseph"/>
        <s v="Aisha Bello"/>
        <s v="Esther James"/>
      </sharedItems>
    </cacheField>
    <cacheField name="City" numFmtId="0">
      <sharedItems count="13">
        <s v="Enugu"/>
        <s v="Lagos"/>
        <s v="Abuja"/>
        <s v="Abeokuta"/>
        <s v="Kano"/>
        <s v="Port Harcourt"/>
        <s v="Benin City"/>
        <s v="Asaba"/>
        <s v="Ibadan"/>
        <s v="Uyo"/>
        <s v="Kaduna"/>
        <s v="Calabar"/>
        <s v="Warri"/>
      </sharedItems>
    </cacheField>
    <cacheField name="Customer Type" numFmtId="0">
      <sharedItems count="3">
        <s v="Corporate"/>
        <s v="Wholesale"/>
        <s v="Retail"/>
      </sharedItems>
    </cacheField>
    <cacheField name="TransactionID" numFmtId="0">
      <sharedItems/>
    </cacheField>
    <cacheField name="CustomerID" numFmtId="0">
      <sharedItems/>
    </cacheField>
    <cacheField name="ProductID" numFmtId="0">
      <sharedItems/>
    </cacheField>
    <cacheField name="TransactionDate" numFmtId="165">
      <sharedItems containsSemiMixedTypes="0" containsNonDate="0" containsDate="1" containsString="0" minDate="2026-01-01T00:00:00" maxDate="2026-06-28T00:00:00" count="54">
        <d v="2026-02-02T00:00:00"/>
        <d v="2026-03-03T00:00:00"/>
        <d v="2026-04-04T00:00:00"/>
        <d v="2026-05-05T00:00:00"/>
        <d v="2026-06-06T00:00:00"/>
        <d v="2026-01-07T00:00:00"/>
        <d v="2026-02-08T00:00:00"/>
        <d v="2026-03-09T00:00:00"/>
        <d v="2026-04-10T00:00:00"/>
        <d v="2026-05-11T00:00:00"/>
        <d v="2026-06-12T00:00:00"/>
        <d v="2026-01-13T00:00:00"/>
        <d v="2026-02-14T00:00:00"/>
        <d v="2026-03-15T00:00:00"/>
        <d v="2026-04-16T00:00:00"/>
        <d v="2026-05-17T00:00:00"/>
        <d v="2026-06-18T00:00:00"/>
        <d v="2026-01-19T00:00:00"/>
        <d v="2026-02-20T00:00:00"/>
        <d v="2026-03-21T00:00:00"/>
        <d v="2026-04-22T00:00:00"/>
        <d v="2026-05-23T00:00:00"/>
        <d v="2026-06-24T00:00:00"/>
        <d v="2026-01-25T00:00:00"/>
        <d v="2026-02-26T00:00:00"/>
        <d v="2026-03-27T00:00:00"/>
        <d v="2026-04-01T00:00:00"/>
        <d v="2026-05-02T00:00:00"/>
        <d v="2026-06-03T00:00:00"/>
        <d v="2026-01-04T00:00:00"/>
        <d v="2026-02-05T00:00:00"/>
        <d v="2026-03-06T00:00:00"/>
        <d v="2026-04-07T00:00:00"/>
        <d v="2026-05-08T00:00:00"/>
        <d v="2026-06-09T00:00:00"/>
        <d v="2026-01-10T00:00:00"/>
        <d v="2026-02-11T00:00:00"/>
        <d v="2026-03-12T00:00:00"/>
        <d v="2026-04-13T00:00:00"/>
        <d v="2026-06-15T00:00:00"/>
        <d v="2026-01-16T00:00:00"/>
        <d v="2026-02-17T00:00:00"/>
        <d v="2026-03-18T00:00:00"/>
        <d v="2026-04-19T00:00:00"/>
        <d v="2026-05-20T00:00:00"/>
        <d v="2026-06-21T00:00:00"/>
        <d v="2026-01-22T00:00:00"/>
        <d v="2026-02-23T00:00:00"/>
        <d v="2026-03-24T00:00:00"/>
        <d v="2026-04-25T00:00:00"/>
        <d v="2026-05-26T00:00:00"/>
        <d v="2026-06-27T00:00:00"/>
        <d v="2026-01-01T00:00:00"/>
        <d v="2026-05-14T00:00:00"/>
      </sharedItems>
      <fieldGroup par="14"/>
    </cacheField>
    <cacheField name="Quantity" numFmtId="0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25"/>
    </cacheField>
    <cacheField name="Product Name" numFmtId="0">
      <sharedItems count="10">
        <s v="Mouse"/>
        <s v="Desk"/>
        <s v="External Drive"/>
        <s v="Keyboard"/>
        <s v="Office Chair"/>
        <s v="Tablet"/>
        <s v="Monitor"/>
        <s v="Printer"/>
        <s v="Headset"/>
        <s v="Laptop"/>
      </sharedItems>
    </cacheField>
    <cacheField name="Category" numFmtId="0">
      <sharedItems count="4">
        <s v="Accessories"/>
        <s v="Furniture"/>
        <s v="Electronics"/>
        <s v="Office Equipment"/>
      </sharedItems>
    </cacheField>
    <cacheField name="Unit Price" numFmtId="164">
      <sharedItems containsSemiMixedTypes="0" containsString="0" containsNumber="1" containsInteger="1" minValue="8000" maxValue="450000"/>
    </cacheField>
    <cacheField name="Total Sales" numFmtId="164">
      <sharedItems containsSemiMixedTypes="0" containsString="0" containsNumber="1" containsInteger="1" minValue="14400" maxValue="900000"/>
    </cacheField>
    <cacheField name="Days (TransactionDate)" numFmtId="0" databaseField="0">
      <fieldGroup base="6">
        <rangePr groupBy="days" startDate="2026-01-01T00:00:00" endDate="2026-06-28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06/2026"/>
        </groupItems>
      </fieldGroup>
    </cacheField>
    <cacheField name="Months (TransactionDate)" numFmtId="0" databaseField="0">
      <fieldGroup base="6">
        <rangePr groupBy="months" startDate="2026-01-01T00:00:00" endDate="2026-06-28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8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x v="0"/>
    <x v="0"/>
    <s v="T0001"/>
    <s v="C008"/>
    <s v="P004"/>
    <x v="0"/>
    <n v="2"/>
    <n v="0"/>
    <x v="0"/>
    <x v="0"/>
    <n v="8000"/>
    <n v="16000"/>
  </r>
  <r>
    <x v="1"/>
    <x v="1"/>
    <x v="0"/>
    <s v="T0002"/>
    <s v="C015"/>
    <s v="P007"/>
    <x v="1"/>
    <n v="3"/>
    <n v="0"/>
    <x v="1"/>
    <x v="1"/>
    <n v="140000"/>
    <n v="420000"/>
  </r>
  <r>
    <x v="2"/>
    <x v="2"/>
    <x v="0"/>
    <s v="T0003"/>
    <s v="C002"/>
    <s v="P010"/>
    <x v="2"/>
    <n v="4"/>
    <n v="0"/>
    <x v="2"/>
    <x v="2"/>
    <n v="75000"/>
    <n v="300000"/>
  </r>
  <r>
    <x v="3"/>
    <x v="1"/>
    <x v="1"/>
    <s v="T0004"/>
    <s v="C009"/>
    <s v="P003"/>
    <x v="3"/>
    <n v="5"/>
    <n v="0"/>
    <x v="3"/>
    <x v="0"/>
    <n v="15000"/>
    <n v="75000"/>
  </r>
  <r>
    <x v="4"/>
    <x v="3"/>
    <x v="2"/>
    <s v="T0005"/>
    <s v="C016"/>
    <s v="P006"/>
    <x v="4"/>
    <n v="1"/>
    <n v="0"/>
    <x v="4"/>
    <x v="1"/>
    <n v="95000"/>
    <n v="95000"/>
  </r>
  <r>
    <x v="5"/>
    <x v="4"/>
    <x v="2"/>
    <s v="T0006"/>
    <s v="C003"/>
    <s v="P009"/>
    <x v="5"/>
    <n v="2"/>
    <n v="0"/>
    <x v="5"/>
    <x v="2"/>
    <n v="220000"/>
    <n v="440000"/>
  </r>
  <r>
    <x v="6"/>
    <x v="2"/>
    <x v="2"/>
    <s v="T0007"/>
    <s v="C010"/>
    <s v="P002"/>
    <x v="6"/>
    <n v="3"/>
    <n v="0.05"/>
    <x v="6"/>
    <x v="2"/>
    <n v="180000"/>
    <n v="513000"/>
  </r>
  <r>
    <x v="7"/>
    <x v="4"/>
    <x v="0"/>
    <s v="T0008"/>
    <s v="C017"/>
    <s v="P005"/>
    <x v="7"/>
    <n v="4"/>
    <n v="0"/>
    <x v="7"/>
    <x v="3"/>
    <n v="120000"/>
    <n v="480000"/>
  </r>
  <r>
    <x v="8"/>
    <x v="5"/>
    <x v="0"/>
    <s v="T0009"/>
    <s v="C004"/>
    <s v="P008"/>
    <x v="8"/>
    <n v="5"/>
    <n v="0"/>
    <x v="8"/>
    <x v="0"/>
    <n v="25000"/>
    <n v="125000"/>
  </r>
  <r>
    <x v="6"/>
    <x v="2"/>
    <x v="2"/>
    <s v="T0010"/>
    <s v="C010"/>
    <s v="P001"/>
    <x v="9"/>
    <n v="1"/>
    <n v="0"/>
    <x v="9"/>
    <x v="2"/>
    <n v="450000"/>
    <n v="450000"/>
  </r>
  <r>
    <x v="9"/>
    <x v="5"/>
    <x v="2"/>
    <s v="T0011"/>
    <s v="C018"/>
    <s v="P004"/>
    <x v="10"/>
    <n v="2"/>
    <n v="0.1"/>
    <x v="0"/>
    <x v="0"/>
    <n v="8000"/>
    <n v="14400"/>
  </r>
  <r>
    <x v="10"/>
    <x v="6"/>
    <x v="2"/>
    <s v="T0012"/>
    <s v="C005"/>
    <s v="P007"/>
    <x v="11"/>
    <n v="3"/>
    <n v="0"/>
    <x v="1"/>
    <x v="1"/>
    <n v="140000"/>
    <n v="420000"/>
  </r>
  <r>
    <x v="11"/>
    <x v="7"/>
    <x v="0"/>
    <s v="T0013"/>
    <s v="C012"/>
    <s v="P010"/>
    <x v="12"/>
    <n v="4"/>
    <n v="0"/>
    <x v="2"/>
    <x v="2"/>
    <n v="75000"/>
    <n v="300000"/>
  </r>
  <r>
    <x v="12"/>
    <x v="6"/>
    <x v="1"/>
    <s v="T0014"/>
    <s v="C019"/>
    <s v="P003"/>
    <x v="13"/>
    <n v="5"/>
    <n v="0.05"/>
    <x v="3"/>
    <x v="0"/>
    <n v="15000"/>
    <n v="71250"/>
  </r>
  <r>
    <x v="13"/>
    <x v="8"/>
    <x v="1"/>
    <s v="T0015"/>
    <s v="C006"/>
    <s v="P006"/>
    <x v="14"/>
    <n v="1"/>
    <n v="0"/>
    <x v="4"/>
    <x v="1"/>
    <n v="95000"/>
    <n v="95000"/>
  </r>
  <r>
    <x v="14"/>
    <x v="9"/>
    <x v="2"/>
    <s v="T0016"/>
    <s v="C013"/>
    <s v="P009"/>
    <x v="15"/>
    <n v="2"/>
    <n v="0"/>
    <x v="5"/>
    <x v="2"/>
    <n v="220000"/>
    <n v="440000"/>
  </r>
  <r>
    <x v="15"/>
    <x v="8"/>
    <x v="0"/>
    <s v="T0017"/>
    <s v="C020"/>
    <s v="P002"/>
    <x v="16"/>
    <n v="3"/>
    <n v="0"/>
    <x v="6"/>
    <x v="2"/>
    <n v="180000"/>
    <n v="540000"/>
  </r>
  <r>
    <x v="16"/>
    <x v="10"/>
    <x v="2"/>
    <s v="T0018"/>
    <s v="C007"/>
    <s v="P005"/>
    <x v="17"/>
    <n v="4"/>
    <n v="0"/>
    <x v="7"/>
    <x v="3"/>
    <n v="120000"/>
    <n v="480000"/>
  </r>
  <r>
    <x v="17"/>
    <x v="11"/>
    <x v="1"/>
    <s v="T0019"/>
    <s v="C014"/>
    <s v="P008"/>
    <x v="18"/>
    <n v="5"/>
    <n v="0"/>
    <x v="8"/>
    <x v="0"/>
    <n v="25000"/>
    <n v="125000"/>
  </r>
  <r>
    <x v="18"/>
    <x v="1"/>
    <x v="2"/>
    <s v="T0020"/>
    <s v="C001"/>
    <s v="P001"/>
    <x v="19"/>
    <n v="1"/>
    <n v="0"/>
    <x v="9"/>
    <x v="2"/>
    <n v="450000"/>
    <n v="450000"/>
  </r>
  <r>
    <x v="0"/>
    <x v="0"/>
    <x v="0"/>
    <s v="T0021"/>
    <s v="C008"/>
    <s v="P004"/>
    <x v="20"/>
    <n v="2"/>
    <n v="0.05"/>
    <x v="0"/>
    <x v="0"/>
    <n v="8000"/>
    <n v="15200"/>
  </r>
  <r>
    <x v="1"/>
    <x v="1"/>
    <x v="0"/>
    <s v="T0022"/>
    <s v="C015"/>
    <s v="P007"/>
    <x v="21"/>
    <n v="3"/>
    <n v="0.1"/>
    <x v="1"/>
    <x v="1"/>
    <n v="140000"/>
    <n v="378000"/>
  </r>
  <r>
    <x v="2"/>
    <x v="2"/>
    <x v="0"/>
    <s v="T0023"/>
    <s v="C002"/>
    <s v="P010"/>
    <x v="22"/>
    <n v="4"/>
    <n v="0"/>
    <x v="2"/>
    <x v="2"/>
    <n v="75000"/>
    <n v="300000"/>
  </r>
  <r>
    <x v="3"/>
    <x v="1"/>
    <x v="1"/>
    <s v="T0024"/>
    <s v="C009"/>
    <s v="P003"/>
    <x v="23"/>
    <n v="5"/>
    <n v="0"/>
    <x v="3"/>
    <x v="0"/>
    <n v="15000"/>
    <n v="75000"/>
  </r>
  <r>
    <x v="4"/>
    <x v="3"/>
    <x v="2"/>
    <s v="T0025"/>
    <s v="C016"/>
    <s v="P006"/>
    <x v="24"/>
    <n v="1"/>
    <n v="0"/>
    <x v="4"/>
    <x v="1"/>
    <n v="95000"/>
    <n v="95000"/>
  </r>
  <r>
    <x v="5"/>
    <x v="4"/>
    <x v="2"/>
    <s v="T0026"/>
    <s v="C003"/>
    <s v="P009"/>
    <x v="25"/>
    <n v="2"/>
    <n v="0"/>
    <x v="5"/>
    <x v="2"/>
    <n v="220000"/>
    <n v="440000"/>
  </r>
  <r>
    <x v="6"/>
    <x v="2"/>
    <x v="2"/>
    <s v="T0027"/>
    <s v="C010"/>
    <s v="P002"/>
    <x v="26"/>
    <n v="3"/>
    <n v="0"/>
    <x v="6"/>
    <x v="2"/>
    <n v="180000"/>
    <n v="540000"/>
  </r>
  <r>
    <x v="7"/>
    <x v="4"/>
    <x v="0"/>
    <s v="T0028"/>
    <s v="C017"/>
    <s v="P005"/>
    <x v="27"/>
    <n v="4"/>
    <n v="0.05"/>
    <x v="7"/>
    <x v="3"/>
    <n v="120000"/>
    <n v="456000"/>
  </r>
  <r>
    <x v="8"/>
    <x v="5"/>
    <x v="0"/>
    <s v="T0029"/>
    <s v="C004"/>
    <s v="P008"/>
    <x v="28"/>
    <n v="5"/>
    <n v="0"/>
    <x v="8"/>
    <x v="0"/>
    <n v="25000"/>
    <n v="125000"/>
  </r>
  <r>
    <x v="19"/>
    <x v="12"/>
    <x v="2"/>
    <s v="T0030"/>
    <s v="C011"/>
    <s v="P001"/>
    <x v="29"/>
    <n v="1"/>
    <n v="0"/>
    <x v="9"/>
    <x v="2"/>
    <n v="450000"/>
    <n v="450000"/>
  </r>
  <r>
    <x v="9"/>
    <x v="5"/>
    <x v="2"/>
    <s v="T0031"/>
    <s v="C018"/>
    <s v="P004"/>
    <x v="30"/>
    <n v="2"/>
    <n v="0"/>
    <x v="0"/>
    <x v="0"/>
    <n v="8000"/>
    <n v="16000"/>
  </r>
  <r>
    <x v="10"/>
    <x v="6"/>
    <x v="2"/>
    <s v="T0032"/>
    <s v="C005"/>
    <s v="P007"/>
    <x v="31"/>
    <n v="3"/>
    <n v="0"/>
    <x v="1"/>
    <x v="1"/>
    <n v="140000"/>
    <n v="420000"/>
  </r>
  <r>
    <x v="11"/>
    <x v="7"/>
    <x v="0"/>
    <s v="T0033"/>
    <s v="C012"/>
    <s v="P010"/>
    <x v="32"/>
    <n v="4"/>
    <n v="0.1"/>
    <x v="2"/>
    <x v="2"/>
    <n v="75000"/>
    <n v="270000"/>
  </r>
  <r>
    <x v="12"/>
    <x v="6"/>
    <x v="1"/>
    <s v="T0034"/>
    <s v="C019"/>
    <s v="P003"/>
    <x v="33"/>
    <n v="5"/>
    <n v="0"/>
    <x v="3"/>
    <x v="0"/>
    <n v="15000"/>
    <n v="75000"/>
  </r>
  <r>
    <x v="13"/>
    <x v="8"/>
    <x v="1"/>
    <s v="T0035"/>
    <s v="C006"/>
    <s v="P006"/>
    <x v="34"/>
    <n v="1"/>
    <n v="0.05"/>
    <x v="4"/>
    <x v="1"/>
    <n v="95000"/>
    <n v="90250"/>
  </r>
  <r>
    <x v="14"/>
    <x v="9"/>
    <x v="2"/>
    <s v="T0036"/>
    <s v="C013"/>
    <s v="P009"/>
    <x v="35"/>
    <n v="2"/>
    <n v="0"/>
    <x v="5"/>
    <x v="2"/>
    <n v="220000"/>
    <n v="440000"/>
  </r>
  <r>
    <x v="15"/>
    <x v="8"/>
    <x v="0"/>
    <s v="T0037"/>
    <s v="C020"/>
    <s v="P002"/>
    <x v="36"/>
    <n v="3"/>
    <n v="0"/>
    <x v="6"/>
    <x v="2"/>
    <n v="180000"/>
    <n v="540000"/>
  </r>
  <r>
    <x v="16"/>
    <x v="10"/>
    <x v="2"/>
    <s v="T0038"/>
    <s v="C007"/>
    <s v="P005"/>
    <x v="37"/>
    <n v="4"/>
    <n v="0"/>
    <x v="7"/>
    <x v="3"/>
    <n v="120000"/>
    <n v="480000"/>
  </r>
  <r>
    <x v="17"/>
    <x v="11"/>
    <x v="1"/>
    <s v="T0039"/>
    <s v="C014"/>
    <s v="P008"/>
    <x v="38"/>
    <n v="5"/>
    <n v="0"/>
    <x v="8"/>
    <x v="0"/>
    <n v="25000"/>
    <n v="125000"/>
  </r>
  <r>
    <x v="0"/>
    <x v="0"/>
    <x v="0"/>
    <s v="T0041"/>
    <s v="C008"/>
    <s v="P004"/>
    <x v="39"/>
    <n v="2"/>
    <n v="0"/>
    <x v="0"/>
    <x v="0"/>
    <n v="8000"/>
    <n v="16000"/>
  </r>
  <r>
    <x v="1"/>
    <x v="1"/>
    <x v="0"/>
    <s v="T0042"/>
    <s v="C015"/>
    <s v="P007"/>
    <x v="40"/>
    <n v="3"/>
    <n v="0.05"/>
    <x v="1"/>
    <x v="1"/>
    <n v="140000"/>
    <n v="399000"/>
  </r>
  <r>
    <x v="2"/>
    <x v="2"/>
    <x v="0"/>
    <s v="T0043"/>
    <s v="C002"/>
    <s v="P010"/>
    <x v="41"/>
    <n v="4"/>
    <n v="0"/>
    <x v="2"/>
    <x v="2"/>
    <n v="75000"/>
    <n v="300000"/>
  </r>
  <r>
    <x v="3"/>
    <x v="1"/>
    <x v="1"/>
    <s v="T0044"/>
    <s v="C009"/>
    <s v="P003"/>
    <x v="42"/>
    <n v="5"/>
    <n v="0.1"/>
    <x v="3"/>
    <x v="0"/>
    <n v="15000"/>
    <n v="67500"/>
  </r>
  <r>
    <x v="4"/>
    <x v="3"/>
    <x v="2"/>
    <s v="T0045"/>
    <s v="C016"/>
    <s v="P006"/>
    <x v="43"/>
    <n v="1"/>
    <n v="0"/>
    <x v="4"/>
    <x v="1"/>
    <n v="95000"/>
    <n v="95000"/>
  </r>
  <r>
    <x v="5"/>
    <x v="4"/>
    <x v="2"/>
    <s v="T0046"/>
    <s v="C003"/>
    <s v="P009"/>
    <x v="44"/>
    <n v="2"/>
    <n v="0"/>
    <x v="5"/>
    <x v="2"/>
    <n v="220000"/>
    <n v="440000"/>
  </r>
  <r>
    <x v="6"/>
    <x v="2"/>
    <x v="2"/>
    <s v="T0047"/>
    <s v="C010"/>
    <s v="P002"/>
    <x v="45"/>
    <n v="3"/>
    <n v="0"/>
    <x v="6"/>
    <x v="2"/>
    <n v="180000"/>
    <n v="540000"/>
  </r>
  <r>
    <x v="7"/>
    <x v="4"/>
    <x v="0"/>
    <s v="T0048"/>
    <s v="C017"/>
    <s v="P005"/>
    <x v="46"/>
    <n v="4"/>
    <n v="0"/>
    <x v="7"/>
    <x v="3"/>
    <n v="120000"/>
    <n v="480000"/>
  </r>
  <r>
    <x v="8"/>
    <x v="5"/>
    <x v="0"/>
    <s v="T0049"/>
    <s v="C004"/>
    <s v="P008"/>
    <x v="47"/>
    <n v="5"/>
    <n v="0.05"/>
    <x v="8"/>
    <x v="0"/>
    <n v="25000"/>
    <n v="118750"/>
  </r>
  <r>
    <x v="19"/>
    <x v="12"/>
    <x v="2"/>
    <s v="T0050"/>
    <s v="C011"/>
    <s v="P001"/>
    <x v="48"/>
    <n v="1"/>
    <n v="0"/>
    <x v="9"/>
    <x v="2"/>
    <n v="450000"/>
    <n v="450000"/>
  </r>
  <r>
    <x v="9"/>
    <x v="5"/>
    <x v="2"/>
    <s v="T0051"/>
    <s v="C018"/>
    <s v="P004"/>
    <x v="49"/>
    <n v="2"/>
    <n v="0"/>
    <x v="0"/>
    <x v="0"/>
    <n v="8000"/>
    <n v="16000"/>
  </r>
  <r>
    <x v="10"/>
    <x v="6"/>
    <x v="2"/>
    <s v="T0052"/>
    <s v="C005"/>
    <s v="P007"/>
    <x v="50"/>
    <n v="3"/>
    <n v="0"/>
    <x v="1"/>
    <x v="1"/>
    <n v="140000"/>
    <n v="420000"/>
  </r>
  <r>
    <x v="11"/>
    <x v="7"/>
    <x v="0"/>
    <s v="T0053"/>
    <s v="C012"/>
    <s v="P010"/>
    <x v="51"/>
    <n v="4"/>
    <n v="0"/>
    <x v="2"/>
    <x v="2"/>
    <n v="75000"/>
    <n v="300000"/>
  </r>
  <r>
    <x v="12"/>
    <x v="6"/>
    <x v="1"/>
    <s v="T0054"/>
    <s v="C019"/>
    <s v="P003"/>
    <x v="52"/>
    <n v="5"/>
    <n v="0"/>
    <x v="3"/>
    <x v="0"/>
    <n v="15000"/>
    <n v="75000"/>
  </r>
  <r>
    <x v="13"/>
    <x v="8"/>
    <x v="1"/>
    <s v="T0055"/>
    <s v="C006"/>
    <s v="P006"/>
    <x v="0"/>
    <n v="1"/>
    <n v="0.1"/>
    <x v="4"/>
    <x v="1"/>
    <n v="95000"/>
    <n v="85500"/>
  </r>
  <r>
    <x v="14"/>
    <x v="9"/>
    <x v="2"/>
    <s v="T0056"/>
    <s v="C013"/>
    <s v="P009"/>
    <x v="1"/>
    <n v="2"/>
    <n v="0.05"/>
    <x v="5"/>
    <x v="2"/>
    <n v="220000"/>
    <n v="418000"/>
  </r>
  <r>
    <x v="15"/>
    <x v="8"/>
    <x v="0"/>
    <s v="T0057"/>
    <s v="C020"/>
    <s v="P002"/>
    <x v="2"/>
    <n v="3"/>
    <n v="0"/>
    <x v="6"/>
    <x v="2"/>
    <n v="180000"/>
    <n v="540000"/>
  </r>
  <r>
    <x v="16"/>
    <x v="10"/>
    <x v="2"/>
    <s v="T0058"/>
    <s v="C007"/>
    <s v="P005"/>
    <x v="3"/>
    <n v="4"/>
    <n v="0"/>
    <x v="7"/>
    <x v="3"/>
    <n v="120000"/>
    <n v="480000"/>
  </r>
  <r>
    <x v="17"/>
    <x v="11"/>
    <x v="1"/>
    <s v="T0059"/>
    <s v="C014"/>
    <s v="P008"/>
    <x v="4"/>
    <n v="5"/>
    <n v="0"/>
    <x v="8"/>
    <x v="0"/>
    <n v="25000"/>
    <n v="125000"/>
  </r>
  <r>
    <x v="18"/>
    <x v="1"/>
    <x v="2"/>
    <s v="T0060"/>
    <s v="C001"/>
    <s v="P001"/>
    <x v="5"/>
    <n v="1"/>
    <n v="0"/>
    <x v="9"/>
    <x v="2"/>
    <n v="450000"/>
    <n v="450000"/>
  </r>
  <r>
    <x v="0"/>
    <x v="0"/>
    <x v="0"/>
    <s v="T0061"/>
    <s v="C008"/>
    <s v="P004"/>
    <x v="6"/>
    <n v="2"/>
    <n v="0"/>
    <x v="0"/>
    <x v="0"/>
    <n v="8000"/>
    <n v="16000"/>
  </r>
  <r>
    <x v="1"/>
    <x v="1"/>
    <x v="0"/>
    <s v="T0062"/>
    <s v="C015"/>
    <s v="P007"/>
    <x v="7"/>
    <n v="3"/>
    <n v="0"/>
    <x v="1"/>
    <x v="1"/>
    <n v="140000"/>
    <n v="420000"/>
  </r>
  <r>
    <x v="2"/>
    <x v="2"/>
    <x v="0"/>
    <s v="T0063"/>
    <s v="C002"/>
    <s v="P010"/>
    <x v="8"/>
    <n v="4"/>
    <n v="0.05"/>
    <x v="2"/>
    <x v="2"/>
    <n v="75000"/>
    <n v="285000"/>
  </r>
  <r>
    <x v="3"/>
    <x v="1"/>
    <x v="1"/>
    <s v="T0064"/>
    <s v="C009"/>
    <s v="P003"/>
    <x v="9"/>
    <n v="5"/>
    <n v="0"/>
    <x v="3"/>
    <x v="0"/>
    <n v="15000"/>
    <n v="75000"/>
  </r>
  <r>
    <x v="4"/>
    <x v="3"/>
    <x v="2"/>
    <s v="T0065"/>
    <s v="C016"/>
    <s v="P006"/>
    <x v="10"/>
    <n v="1"/>
    <n v="0"/>
    <x v="4"/>
    <x v="1"/>
    <n v="95000"/>
    <n v="95000"/>
  </r>
  <r>
    <x v="5"/>
    <x v="4"/>
    <x v="2"/>
    <s v="T0066"/>
    <s v="C003"/>
    <s v="P009"/>
    <x v="11"/>
    <n v="2"/>
    <n v="0.1"/>
    <x v="5"/>
    <x v="2"/>
    <n v="220000"/>
    <n v="396000"/>
  </r>
  <r>
    <x v="6"/>
    <x v="2"/>
    <x v="2"/>
    <s v="T0067"/>
    <s v="C010"/>
    <s v="P002"/>
    <x v="12"/>
    <n v="3"/>
    <n v="0"/>
    <x v="6"/>
    <x v="2"/>
    <n v="180000"/>
    <n v="540000"/>
  </r>
  <r>
    <x v="7"/>
    <x v="4"/>
    <x v="0"/>
    <s v="T0068"/>
    <s v="C017"/>
    <s v="P005"/>
    <x v="13"/>
    <n v="4"/>
    <n v="0"/>
    <x v="7"/>
    <x v="3"/>
    <n v="120000"/>
    <n v="480000"/>
  </r>
  <r>
    <x v="8"/>
    <x v="5"/>
    <x v="0"/>
    <s v="T0069"/>
    <s v="C004"/>
    <s v="P008"/>
    <x v="14"/>
    <n v="5"/>
    <n v="0"/>
    <x v="8"/>
    <x v="0"/>
    <n v="25000"/>
    <n v="125000"/>
  </r>
  <r>
    <x v="19"/>
    <x v="12"/>
    <x v="2"/>
    <s v="T0070"/>
    <s v="C011"/>
    <s v="P001"/>
    <x v="15"/>
    <n v="1"/>
    <n v="0.05"/>
    <x v="9"/>
    <x v="2"/>
    <n v="450000"/>
    <n v="427500"/>
  </r>
  <r>
    <x v="9"/>
    <x v="5"/>
    <x v="2"/>
    <s v="T0071"/>
    <s v="C018"/>
    <s v="P004"/>
    <x v="16"/>
    <n v="2"/>
    <n v="0"/>
    <x v="0"/>
    <x v="0"/>
    <n v="8000"/>
    <n v="16000"/>
  </r>
  <r>
    <x v="10"/>
    <x v="6"/>
    <x v="2"/>
    <s v="T0072"/>
    <s v="C005"/>
    <s v="P007"/>
    <x v="17"/>
    <n v="3"/>
    <n v="0"/>
    <x v="1"/>
    <x v="1"/>
    <n v="140000"/>
    <n v="420000"/>
  </r>
  <r>
    <x v="11"/>
    <x v="7"/>
    <x v="0"/>
    <s v="T0073"/>
    <s v="C012"/>
    <s v="P010"/>
    <x v="18"/>
    <n v="4"/>
    <n v="0"/>
    <x v="2"/>
    <x v="2"/>
    <n v="75000"/>
    <n v="300000"/>
  </r>
  <r>
    <x v="12"/>
    <x v="6"/>
    <x v="1"/>
    <s v="T0074"/>
    <s v="C019"/>
    <s v="P003"/>
    <x v="19"/>
    <n v="5"/>
    <n v="0"/>
    <x v="3"/>
    <x v="0"/>
    <n v="15000"/>
    <n v="75000"/>
  </r>
  <r>
    <x v="13"/>
    <x v="8"/>
    <x v="1"/>
    <s v="T0075"/>
    <s v="C006"/>
    <s v="P006"/>
    <x v="20"/>
    <n v="1"/>
    <n v="0"/>
    <x v="4"/>
    <x v="1"/>
    <n v="95000"/>
    <n v="95000"/>
  </r>
  <r>
    <x v="14"/>
    <x v="9"/>
    <x v="2"/>
    <s v="T0076"/>
    <s v="C013"/>
    <s v="P009"/>
    <x v="21"/>
    <n v="2"/>
    <n v="0"/>
    <x v="5"/>
    <x v="2"/>
    <n v="220000"/>
    <n v="440000"/>
  </r>
  <r>
    <x v="15"/>
    <x v="8"/>
    <x v="0"/>
    <s v="T0077"/>
    <s v="C020"/>
    <s v="P002"/>
    <x v="22"/>
    <n v="3"/>
    <n v="0.1"/>
    <x v="6"/>
    <x v="2"/>
    <n v="180000"/>
    <n v="486000"/>
  </r>
  <r>
    <x v="16"/>
    <x v="10"/>
    <x v="2"/>
    <s v="T0078"/>
    <s v="C007"/>
    <s v="P005"/>
    <x v="23"/>
    <n v="4"/>
    <n v="0"/>
    <x v="7"/>
    <x v="3"/>
    <n v="120000"/>
    <n v="480000"/>
  </r>
  <r>
    <x v="17"/>
    <x v="11"/>
    <x v="1"/>
    <s v="T0079"/>
    <s v="C014"/>
    <s v="P008"/>
    <x v="24"/>
    <n v="5"/>
    <n v="0"/>
    <x v="8"/>
    <x v="0"/>
    <n v="25000"/>
    <n v="125000"/>
  </r>
  <r>
    <x v="0"/>
    <x v="0"/>
    <x v="0"/>
    <s v="T0081"/>
    <s v="C008"/>
    <s v="P004"/>
    <x v="26"/>
    <n v="2"/>
    <n v="0"/>
    <x v="0"/>
    <x v="0"/>
    <n v="8000"/>
    <n v="16000"/>
  </r>
  <r>
    <x v="1"/>
    <x v="1"/>
    <x v="0"/>
    <s v="T0082"/>
    <s v="C015"/>
    <s v="P007"/>
    <x v="27"/>
    <n v="3"/>
    <n v="0"/>
    <x v="1"/>
    <x v="1"/>
    <n v="140000"/>
    <n v="420000"/>
  </r>
  <r>
    <x v="2"/>
    <x v="2"/>
    <x v="0"/>
    <s v="T0083"/>
    <s v="C002"/>
    <s v="P010"/>
    <x v="28"/>
    <n v="4"/>
    <n v="0"/>
    <x v="2"/>
    <x v="2"/>
    <n v="75000"/>
    <n v="300000"/>
  </r>
  <r>
    <x v="3"/>
    <x v="1"/>
    <x v="1"/>
    <s v="T0084"/>
    <s v="C009"/>
    <s v="P003"/>
    <x v="29"/>
    <n v="5"/>
    <n v="0.05"/>
    <x v="3"/>
    <x v="0"/>
    <n v="15000"/>
    <n v="71250"/>
  </r>
  <r>
    <x v="4"/>
    <x v="3"/>
    <x v="2"/>
    <s v="T0085"/>
    <s v="C016"/>
    <s v="P006"/>
    <x v="30"/>
    <n v="1"/>
    <n v="0"/>
    <x v="4"/>
    <x v="1"/>
    <n v="95000"/>
    <n v="95000"/>
  </r>
  <r>
    <x v="5"/>
    <x v="4"/>
    <x v="2"/>
    <s v="T0086"/>
    <s v="C003"/>
    <s v="P009"/>
    <x v="31"/>
    <n v="2"/>
    <n v="0"/>
    <x v="5"/>
    <x v="2"/>
    <n v="220000"/>
    <n v="440000"/>
  </r>
  <r>
    <x v="6"/>
    <x v="2"/>
    <x v="2"/>
    <s v="T0087"/>
    <s v="C010"/>
    <s v="P002"/>
    <x v="32"/>
    <n v="3"/>
    <n v="0"/>
    <x v="6"/>
    <x v="2"/>
    <n v="180000"/>
    <n v="540000"/>
  </r>
  <r>
    <x v="7"/>
    <x v="4"/>
    <x v="0"/>
    <s v="T0088"/>
    <s v="C017"/>
    <s v="P005"/>
    <x v="33"/>
    <n v="4"/>
    <n v="0.1"/>
    <x v="7"/>
    <x v="3"/>
    <n v="120000"/>
    <n v="432000"/>
  </r>
  <r>
    <x v="8"/>
    <x v="5"/>
    <x v="0"/>
    <s v="T0089"/>
    <s v="C004"/>
    <s v="P008"/>
    <x v="34"/>
    <n v="5"/>
    <n v="0"/>
    <x v="8"/>
    <x v="0"/>
    <n v="25000"/>
    <n v="125000"/>
  </r>
  <r>
    <x v="19"/>
    <x v="12"/>
    <x v="2"/>
    <s v="T0090"/>
    <s v="C011"/>
    <s v="P001"/>
    <x v="35"/>
    <n v="1"/>
    <n v="0"/>
    <x v="9"/>
    <x v="2"/>
    <n v="450000"/>
    <n v="450000"/>
  </r>
  <r>
    <x v="9"/>
    <x v="5"/>
    <x v="2"/>
    <s v="T0091"/>
    <s v="C018"/>
    <s v="P004"/>
    <x v="36"/>
    <n v="2"/>
    <n v="0.05"/>
    <x v="0"/>
    <x v="0"/>
    <n v="8000"/>
    <n v="15200"/>
  </r>
  <r>
    <x v="10"/>
    <x v="6"/>
    <x v="2"/>
    <s v="T0092"/>
    <s v="C005"/>
    <s v="P007"/>
    <x v="37"/>
    <n v="3"/>
    <n v="0"/>
    <x v="1"/>
    <x v="1"/>
    <n v="140000"/>
    <n v="420000"/>
  </r>
  <r>
    <x v="11"/>
    <x v="7"/>
    <x v="0"/>
    <s v="T0093"/>
    <s v="C012"/>
    <s v="P010"/>
    <x v="38"/>
    <n v="4"/>
    <n v="0"/>
    <x v="2"/>
    <x v="2"/>
    <n v="75000"/>
    <n v="300000"/>
  </r>
  <r>
    <x v="12"/>
    <x v="6"/>
    <x v="1"/>
    <s v="T0094"/>
    <s v="C019"/>
    <s v="P003"/>
    <x v="53"/>
    <n v="5"/>
    <n v="0"/>
    <x v="3"/>
    <x v="0"/>
    <n v="15000"/>
    <n v="75000"/>
  </r>
  <r>
    <x v="13"/>
    <x v="8"/>
    <x v="1"/>
    <s v="T0095"/>
    <s v="C006"/>
    <s v="P006"/>
    <x v="39"/>
    <n v="1"/>
    <n v="0"/>
    <x v="4"/>
    <x v="1"/>
    <n v="95000"/>
    <n v="95000"/>
  </r>
  <r>
    <x v="14"/>
    <x v="9"/>
    <x v="2"/>
    <s v="T0096"/>
    <s v="C013"/>
    <s v="P009"/>
    <x v="40"/>
    <n v="2"/>
    <n v="0"/>
    <x v="5"/>
    <x v="2"/>
    <n v="220000"/>
    <n v="440000"/>
  </r>
  <r>
    <x v="15"/>
    <x v="8"/>
    <x v="0"/>
    <s v="T0097"/>
    <s v="C020"/>
    <s v="P002"/>
    <x v="41"/>
    <n v="3"/>
    <n v="0"/>
    <x v="6"/>
    <x v="2"/>
    <n v="180000"/>
    <n v="540000"/>
  </r>
  <r>
    <x v="16"/>
    <x v="10"/>
    <x v="2"/>
    <s v="T0098"/>
    <s v="C007"/>
    <s v="P005"/>
    <x v="42"/>
    <n v="4"/>
    <n v="0.05"/>
    <x v="7"/>
    <x v="3"/>
    <n v="120000"/>
    <n v="456000"/>
  </r>
  <r>
    <x v="17"/>
    <x v="11"/>
    <x v="1"/>
    <s v="T0099"/>
    <s v="C014"/>
    <s v="P008"/>
    <x v="43"/>
    <n v="5"/>
    <n v="0.1"/>
    <x v="8"/>
    <x v="0"/>
    <n v="25000"/>
    <n v="112500"/>
  </r>
  <r>
    <x v="18"/>
    <x v="1"/>
    <x v="2"/>
    <s v="T0100"/>
    <s v="C001"/>
    <s v="P001"/>
    <x v="44"/>
    <n v="1"/>
    <n v="0"/>
    <x v="9"/>
    <x v="2"/>
    <n v="450000"/>
    <n v="450000"/>
  </r>
  <r>
    <x v="0"/>
    <x v="0"/>
    <x v="0"/>
    <s v="T0101"/>
    <s v="C008"/>
    <s v="P004"/>
    <x v="45"/>
    <n v="2"/>
    <n v="0"/>
    <x v="0"/>
    <x v="0"/>
    <n v="8000"/>
    <n v="16000"/>
  </r>
  <r>
    <x v="1"/>
    <x v="1"/>
    <x v="0"/>
    <s v="T0102"/>
    <s v="C015"/>
    <s v="P007"/>
    <x v="46"/>
    <n v="3"/>
    <n v="0"/>
    <x v="1"/>
    <x v="1"/>
    <n v="140000"/>
    <n v="420000"/>
  </r>
  <r>
    <x v="2"/>
    <x v="2"/>
    <x v="0"/>
    <s v="T0103"/>
    <s v="C002"/>
    <s v="P010"/>
    <x v="47"/>
    <n v="4"/>
    <n v="0"/>
    <x v="2"/>
    <x v="2"/>
    <n v="75000"/>
    <n v="300000"/>
  </r>
  <r>
    <x v="3"/>
    <x v="1"/>
    <x v="1"/>
    <s v="T0104"/>
    <s v="C009"/>
    <s v="P003"/>
    <x v="48"/>
    <n v="5"/>
    <n v="0"/>
    <x v="3"/>
    <x v="0"/>
    <n v="15000"/>
    <n v="75000"/>
  </r>
  <r>
    <x v="4"/>
    <x v="3"/>
    <x v="2"/>
    <s v="T0105"/>
    <s v="C016"/>
    <s v="P006"/>
    <x v="49"/>
    <n v="1"/>
    <n v="0.05"/>
    <x v="4"/>
    <x v="1"/>
    <n v="95000"/>
    <n v="90250"/>
  </r>
  <r>
    <x v="5"/>
    <x v="4"/>
    <x v="2"/>
    <s v="T0106"/>
    <s v="C003"/>
    <s v="P009"/>
    <x v="50"/>
    <n v="2"/>
    <n v="0"/>
    <x v="5"/>
    <x v="2"/>
    <n v="220000"/>
    <n v="440000"/>
  </r>
  <r>
    <x v="6"/>
    <x v="2"/>
    <x v="2"/>
    <s v="T0107"/>
    <s v="C010"/>
    <s v="P002"/>
    <x v="51"/>
    <n v="3"/>
    <n v="0"/>
    <x v="6"/>
    <x v="2"/>
    <n v="180000"/>
    <n v="540000"/>
  </r>
  <r>
    <x v="7"/>
    <x v="4"/>
    <x v="0"/>
    <s v="T0108"/>
    <s v="C017"/>
    <s v="P005"/>
    <x v="52"/>
    <n v="4"/>
    <n v="0"/>
    <x v="7"/>
    <x v="3"/>
    <n v="120000"/>
    <n v="480000"/>
  </r>
  <r>
    <x v="8"/>
    <x v="5"/>
    <x v="0"/>
    <s v="T0109"/>
    <s v="C004"/>
    <s v="P008"/>
    <x v="0"/>
    <n v="5"/>
    <n v="0"/>
    <x v="8"/>
    <x v="0"/>
    <n v="25000"/>
    <n v="125000"/>
  </r>
  <r>
    <x v="19"/>
    <x v="12"/>
    <x v="2"/>
    <s v="T0110"/>
    <s v="C011"/>
    <s v="P001"/>
    <x v="1"/>
    <n v="1"/>
    <n v="0.1"/>
    <x v="9"/>
    <x v="2"/>
    <n v="450000"/>
    <n v="405000"/>
  </r>
  <r>
    <x v="9"/>
    <x v="5"/>
    <x v="2"/>
    <s v="T0111"/>
    <s v="C018"/>
    <s v="P004"/>
    <x v="2"/>
    <n v="2"/>
    <n v="0"/>
    <x v="0"/>
    <x v="0"/>
    <n v="8000"/>
    <n v="16000"/>
  </r>
  <r>
    <x v="10"/>
    <x v="6"/>
    <x v="2"/>
    <s v="T0112"/>
    <s v="C005"/>
    <s v="P007"/>
    <x v="3"/>
    <n v="3"/>
    <n v="0.05"/>
    <x v="1"/>
    <x v="1"/>
    <n v="140000"/>
    <n v="399000"/>
  </r>
  <r>
    <x v="11"/>
    <x v="7"/>
    <x v="0"/>
    <s v="T0113"/>
    <s v="C012"/>
    <s v="P010"/>
    <x v="4"/>
    <n v="4"/>
    <n v="0"/>
    <x v="2"/>
    <x v="2"/>
    <n v="75000"/>
    <n v="300000"/>
  </r>
  <r>
    <x v="12"/>
    <x v="6"/>
    <x v="1"/>
    <s v="T0114"/>
    <s v="C019"/>
    <s v="P003"/>
    <x v="5"/>
    <n v="5"/>
    <n v="0"/>
    <x v="3"/>
    <x v="0"/>
    <n v="15000"/>
    <n v="75000"/>
  </r>
  <r>
    <x v="13"/>
    <x v="8"/>
    <x v="1"/>
    <s v="T0115"/>
    <s v="C006"/>
    <s v="P006"/>
    <x v="6"/>
    <n v="1"/>
    <n v="0"/>
    <x v="4"/>
    <x v="1"/>
    <n v="95000"/>
    <n v="95000"/>
  </r>
  <r>
    <x v="14"/>
    <x v="9"/>
    <x v="2"/>
    <s v="T0116"/>
    <s v="C013"/>
    <s v="P009"/>
    <x v="7"/>
    <n v="2"/>
    <n v="0"/>
    <x v="5"/>
    <x v="2"/>
    <n v="220000"/>
    <n v="440000"/>
  </r>
  <r>
    <x v="15"/>
    <x v="8"/>
    <x v="0"/>
    <s v="T0117"/>
    <s v="C020"/>
    <s v="P002"/>
    <x v="8"/>
    <n v="3"/>
    <n v="0"/>
    <x v="6"/>
    <x v="2"/>
    <n v="180000"/>
    <n v="540000"/>
  </r>
  <r>
    <x v="16"/>
    <x v="10"/>
    <x v="2"/>
    <s v="T0118"/>
    <s v="C007"/>
    <s v="P005"/>
    <x v="9"/>
    <n v="4"/>
    <n v="0"/>
    <x v="7"/>
    <x v="3"/>
    <n v="120000"/>
    <n v="480000"/>
  </r>
  <r>
    <x v="17"/>
    <x v="11"/>
    <x v="1"/>
    <s v="T0119"/>
    <s v="C014"/>
    <s v="P008"/>
    <x v="10"/>
    <n v="5"/>
    <n v="0.05"/>
    <x v="8"/>
    <x v="0"/>
    <n v="25000"/>
    <n v="118750"/>
  </r>
  <r>
    <x v="18"/>
    <x v="1"/>
    <x v="2"/>
    <s v="T0120"/>
    <s v="C001"/>
    <s v="P001"/>
    <x v="11"/>
    <n v="2"/>
    <n v="0"/>
    <x v="9"/>
    <x v="2"/>
    <n v="450000"/>
    <n v="900000"/>
  </r>
  <r>
    <x v="0"/>
    <x v="0"/>
    <x v="0"/>
    <s v="T0121"/>
    <s v="C008"/>
    <s v="P004"/>
    <x v="12"/>
    <n v="2"/>
    <n v="0.1"/>
    <x v="0"/>
    <x v="0"/>
    <n v="8000"/>
    <n v="14400"/>
  </r>
  <r>
    <x v="1"/>
    <x v="1"/>
    <x v="0"/>
    <s v="T0122"/>
    <s v="C015"/>
    <s v="P007"/>
    <x v="13"/>
    <n v="3"/>
    <n v="0"/>
    <x v="1"/>
    <x v="1"/>
    <n v="140000"/>
    <n v="420000"/>
  </r>
  <r>
    <x v="2"/>
    <x v="2"/>
    <x v="0"/>
    <s v="T0123"/>
    <s v="C002"/>
    <s v="P010"/>
    <x v="14"/>
    <n v="4"/>
    <n v="0"/>
    <x v="2"/>
    <x v="2"/>
    <n v="75000"/>
    <n v="300000"/>
  </r>
  <r>
    <x v="3"/>
    <x v="1"/>
    <x v="1"/>
    <s v="T0124"/>
    <s v="C009"/>
    <s v="P003"/>
    <x v="15"/>
    <n v="5"/>
    <n v="0"/>
    <x v="3"/>
    <x v="0"/>
    <n v="15000"/>
    <n v="75000"/>
  </r>
  <r>
    <x v="4"/>
    <x v="3"/>
    <x v="2"/>
    <s v="T0125"/>
    <s v="C016"/>
    <s v="P006"/>
    <x v="16"/>
    <n v="1"/>
    <n v="0"/>
    <x v="4"/>
    <x v="1"/>
    <n v="95000"/>
    <n v="95000"/>
  </r>
  <r>
    <x v="5"/>
    <x v="4"/>
    <x v="2"/>
    <s v="T0126"/>
    <s v="C003"/>
    <s v="P009"/>
    <x v="17"/>
    <n v="2"/>
    <n v="0.05"/>
    <x v="5"/>
    <x v="2"/>
    <n v="220000"/>
    <n v="418000"/>
  </r>
  <r>
    <x v="6"/>
    <x v="2"/>
    <x v="2"/>
    <s v="T0127"/>
    <s v="C010"/>
    <s v="P002"/>
    <x v="18"/>
    <n v="3"/>
    <n v="0"/>
    <x v="6"/>
    <x v="2"/>
    <n v="180000"/>
    <n v="540000"/>
  </r>
  <r>
    <x v="7"/>
    <x v="4"/>
    <x v="0"/>
    <s v="T0128"/>
    <s v="C017"/>
    <s v="P005"/>
    <x v="19"/>
    <n v="4"/>
    <n v="0"/>
    <x v="7"/>
    <x v="3"/>
    <n v="120000"/>
    <n v="480000"/>
  </r>
  <r>
    <x v="8"/>
    <x v="5"/>
    <x v="0"/>
    <s v="T0129"/>
    <s v="C004"/>
    <s v="P008"/>
    <x v="20"/>
    <n v="5"/>
    <n v="0"/>
    <x v="8"/>
    <x v="0"/>
    <n v="25000"/>
    <n v="125000"/>
  </r>
  <r>
    <x v="19"/>
    <x v="12"/>
    <x v="2"/>
    <s v="T0130"/>
    <s v="C011"/>
    <s v="P001"/>
    <x v="21"/>
    <n v="1"/>
    <n v="0"/>
    <x v="9"/>
    <x v="2"/>
    <n v="450000"/>
    <n v="450000"/>
  </r>
  <r>
    <x v="9"/>
    <x v="5"/>
    <x v="2"/>
    <s v="T0131"/>
    <s v="C018"/>
    <s v="P004"/>
    <x v="22"/>
    <n v="2"/>
    <n v="0"/>
    <x v="0"/>
    <x v="0"/>
    <n v="8000"/>
    <n v="16000"/>
  </r>
  <r>
    <x v="10"/>
    <x v="6"/>
    <x v="2"/>
    <s v="T0132"/>
    <s v="C005"/>
    <s v="P007"/>
    <x v="23"/>
    <n v="3"/>
    <n v="0.1"/>
    <x v="1"/>
    <x v="1"/>
    <n v="140000"/>
    <n v="378000"/>
  </r>
  <r>
    <x v="11"/>
    <x v="7"/>
    <x v="0"/>
    <s v="T0133"/>
    <s v="C012"/>
    <s v="P010"/>
    <x v="24"/>
    <n v="4"/>
    <n v="0.05"/>
    <x v="2"/>
    <x v="2"/>
    <n v="75000"/>
    <n v="285000"/>
  </r>
  <r>
    <x v="12"/>
    <x v="6"/>
    <x v="1"/>
    <s v="T0134"/>
    <s v="C019"/>
    <s v="P003"/>
    <x v="25"/>
    <n v="5"/>
    <n v="0"/>
    <x v="3"/>
    <x v="0"/>
    <n v="15000"/>
    <n v="75000"/>
  </r>
  <r>
    <x v="13"/>
    <x v="8"/>
    <x v="1"/>
    <s v="T0135"/>
    <s v="C006"/>
    <s v="P006"/>
    <x v="26"/>
    <n v="1"/>
    <n v="0"/>
    <x v="4"/>
    <x v="1"/>
    <n v="95000"/>
    <n v="95000"/>
  </r>
  <r>
    <x v="14"/>
    <x v="9"/>
    <x v="2"/>
    <s v="T0136"/>
    <s v="C013"/>
    <s v="P009"/>
    <x v="27"/>
    <n v="2"/>
    <n v="0"/>
    <x v="5"/>
    <x v="2"/>
    <n v="220000"/>
    <n v="440000"/>
  </r>
  <r>
    <x v="15"/>
    <x v="8"/>
    <x v="0"/>
    <s v="T0137"/>
    <s v="C020"/>
    <s v="P002"/>
    <x v="28"/>
    <n v="3"/>
    <n v="0"/>
    <x v="6"/>
    <x v="2"/>
    <n v="180000"/>
    <n v="540000"/>
  </r>
  <r>
    <x v="16"/>
    <x v="10"/>
    <x v="2"/>
    <s v="T0138"/>
    <s v="C007"/>
    <s v="P005"/>
    <x v="29"/>
    <n v="4"/>
    <n v="0"/>
    <x v="7"/>
    <x v="3"/>
    <n v="120000"/>
    <n v="480000"/>
  </r>
  <r>
    <x v="17"/>
    <x v="11"/>
    <x v="1"/>
    <s v="T0139"/>
    <s v="C014"/>
    <s v="P008"/>
    <x v="30"/>
    <n v="5"/>
    <n v="0"/>
    <x v="8"/>
    <x v="0"/>
    <n v="25000"/>
    <n v="125000"/>
  </r>
  <r>
    <x v="18"/>
    <x v="1"/>
    <x v="2"/>
    <s v="T0140"/>
    <s v="C001"/>
    <s v="P001"/>
    <x v="31"/>
    <n v="1"/>
    <n v="0.25"/>
    <x v="9"/>
    <x v="2"/>
    <n v="450000"/>
    <n v="337500"/>
  </r>
  <r>
    <x v="0"/>
    <x v="0"/>
    <x v="0"/>
    <s v="T0141"/>
    <s v="C008"/>
    <s v="P004"/>
    <x v="32"/>
    <n v="2"/>
    <n v="0"/>
    <x v="0"/>
    <x v="0"/>
    <n v="8000"/>
    <n v="16000"/>
  </r>
  <r>
    <x v="1"/>
    <x v="1"/>
    <x v="0"/>
    <s v="T0142"/>
    <s v="C015"/>
    <s v="P007"/>
    <x v="33"/>
    <n v="3"/>
    <n v="0"/>
    <x v="1"/>
    <x v="1"/>
    <n v="140000"/>
    <n v="420000"/>
  </r>
  <r>
    <x v="2"/>
    <x v="2"/>
    <x v="0"/>
    <s v="T0143"/>
    <s v="C002"/>
    <s v="P010"/>
    <x v="34"/>
    <n v="4"/>
    <n v="0.1"/>
    <x v="2"/>
    <x v="2"/>
    <n v="75000"/>
    <n v="270000"/>
  </r>
  <r>
    <x v="3"/>
    <x v="1"/>
    <x v="1"/>
    <s v="T0144"/>
    <s v="C009"/>
    <s v="P003"/>
    <x v="35"/>
    <n v="5"/>
    <n v="0"/>
    <x v="3"/>
    <x v="0"/>
    <n v="15000"/>
    <n v="75000"/>
  </r>
  <r>
    <x v="4"/>
    <x v="3"/>
    <x v="2"/>
    <s v="T0145"/>
    <s v="C016"/>
    <s v="P006"/>
    <x v="36"/>
    <n v="1"/>
    <n v="0"/>
    <x v="4"/>
    <x v="1"/>
    <n v="95000"/>
    <n v="95000"/>
  </r>
  <r>
    <x v="5"/>
    <x v="4"/>
    <x v="2"/>
    <s v="T0146"/>
    <s v="C003"/>
    <s v="P009"/>
    <x v="37"/>
    <n v="2"/>
    <n v="0"/>
    <x v="5"/>
    <x v="2"/>
    <n v="220000"/>
    <n v="440000"/>
  </r>
  <r>
    <x v="6"/>
    <x v="2"/>
    <x v="2"/>
    <s v="T0147"/>
    <s v="C010"/>
    <s v="P002"/>
    <x v="38"/>
    <n v="3"/>
    <n v="0.05"/>
    <x v="6"/>
    <x v="2"/>
    <n v="180000"/>
    <n v="513000"/>
  </r>
  <r>
    <x v="7"/>
    <x v="4"/>
    <x v="0"/>
    <s v="T0148"/>
    <s v="C017"/>
    <s v="P005"/>
    <x v="53"/>
    <n v="4"/>
    <n v="0"/>
    <x v="7"/>
    <x v="3"/>
    <n v="120000"/>
    <n v="480000"/>
  </r>
  <r>
    <x v="8"/>
    <x v="5"/>
    <x v="0"/>
    <s v="T0149"/>
    <s v="C004"/>
    <s v="P008"/>
    <x v="39"/>
    <n v="5"/>
    <n v="0"/>
    <x v="8"/>
    <x v="0"/>
    <n v="25000"/>
    <n v="125000"/>
  </r>
  <r>
    <x v="19"/>
    <x v="12"/>
    <x v="2"/>
    <s v="T0150"/>
    <s v="C011"/>
    <s v="P001"/>
    <x v="40"/>
    <n v="1"/>
    <n v="0"/>
    <x v="9"/>
    <x v="2"/>
    <n v="450000"/>
    <n v="4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1A175-2BAD-4A42-AC64-1AFD5B87E1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I17:J21" firstHeaderRow="1" firstDataRow="1" firstDataCol="1"/>
  <pivotFields count="15"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showAll="0"/>
    <pivotField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Sales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B8818-3363-46B7-B9CC-21E8741A07FE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3:B24" firstHeaderRow="1" firstDataRow="1" firstDataCol="1"/>
  <pivotFields count="15">
    <pivotField axis="axisRow" showAll="0">
      <items count="21">
        <item x="18"/>
        <item x="3"/>
        <item x="8"/>
        <item x="2"/>
        <item x="11"/>
        <item x="0"/>
        <item x="19"/>
        <item x="16"/>
        <item x="10"/>
        <item x="7"/>
        <item x="6"/>
        <item x="14"/>
        <item x="9"/>
        <item x="5"/>
        <item x="12"/>
        <item x="17"/>
        <item x="4"/>
        <item x="1"/>
        <item x="13"/>
        <item x="15"/>
        <item t="default"/>
      </items>
    </pivotField>
    <pivotField showAll="0"/>
    <pivotField showAll="0"/>
    <pivotField showAll="0"/>
    <pivotField showAll="0"/>
    <pivotField showAll="0"/>
    <pivotField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showAll="0"/>
    <pivotField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1">
    <i>
      <x v="10"/>
    </i>
    <i>
      <x v="9"/>
    </i>
    <i>
      <x v="19"/>
    </i>
    <i>
      <x v="13"/>
    </i>
    <i>
      <x v="7"/>
    </i>
    <i>
      <x v="17"/>
    </i>
    <i>
      <x v="6"/>
    </i>
    <i>
      <x v="11"/>
    </i>
    <i>
      <x v="8"/>
    </i>
    <i>
      <x/>
    </i>
    <i>
      <x v="3"/>
    </i>
    <i>
      <x v="4"/>
    </i>
    <i>
      <x v="2"/>
    </i>
    <i>
      <x v="15"/>
    </i>
    <i>
      <x v="16"/>
    </i>
    <i>
      <x v="18"/>
    </i>
    <i>
      <x v="1"/>
    </i>
    <i>
      <x v="14"/>
    </i>
    <i>
      <x v="5"/>
    </i>
    <i>
      <x v="12"/>
    </i>
    <i t="grand">
      <x/>
    </i>
  </rowItems>
  <colItems count="1">
    <i/>
  </colItems>
  <dataFields count="1">
    <dataField name="Sum of Total Sales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9719A-2865-43AD-80F0-83B931BC2196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M12:N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Total Sales" fld="12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34455-4126-486F-8A94-DB8F489D3A96}" name="PivotTable2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Transcation Date">
  <location ref="M3:N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showAll="0"/>
    <pivotField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3">
    <field x="14"/>
    <field x="13"/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2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0EB30-FA27-49CD-862A-51B97D8B434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">
  <location ref="I3:J1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axis="axisRow" showAll="0">
      <items count="11">
        <item x="1"/>
        <item x="2"/>
        <item x="8"/>
        <item x="3"/>
        <item x="9"/>
        <item x="6"/>
        <item x="0"/>
        <item x="4"/>
        <item x="7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5"/>
    </i>
    <i>
      <x v="8"/>
    </i>
    <i>
      <x v="9"/>
    </i>
    <i>
      <x/>
    </i>
    <i>
      <x v="4"/>
    </i>
    <i>
      <x v="1"/>
    </i>
    <i>
      <x v="2"/>
    </i>
    <i>
      <x v="7"/>
    </i>
    <i>
      <x v="3"/>
    </i>
    <i>
      <x v="6"/>
    </i>
    <i t="grand">
      <x/>
    </i>
  </rowItems>
  <colItems count="1">
    <i/>
  </colItems>
  <dataFields count="1">
    <dataField name="Sum of Total Sales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0D182-A294-4F2E-8A13-9D3410C62499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City">
  <location ref="E3:F17" firstHeaderRow="1" firstDataRow="1" firstDataCol="1"/>
  <pivotFields count="15">
    <pivotField showAll="0"/>
    <pivotField axis="axisRow" showAll="0" sortType="descending">
      <items count="14">
        <item x="12"/>
        <item x="9"/>
        <item x="5"/>
        <item x="1"/>
        <item x="4"/>
        <item x="10"/>
        <item x="8"/>
        <item x="0"/>
        <item x="11"/>
        <item x="6"/>
        <item x="7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>
      <items count="55">
        <item x="52"/>
        <item x="29"/>
        <item x="5"/>
        <item x="35"/>
        <item x="11"/>
        <item x="40"/>
        <item x="17"/>
        <item x="46"/>
        <item x="23"/>
        <item x="0"/>
        <item x="30"/>
        <item x="6"/>
        <item x="36"/>
        <item x="12"/>
        <item x="41"/>
        <item x="18"/>
        <item x="47"/>
        <item x="24"/>
        <item x="1"/>
        <item x="31"/>
        <item x="7"/>
        <item x="37"/>
        <item x="13"/>
        <item x="42"/>
        <item x="19"/>
        <item x="48"/>
        <item x="25"/>
        <item x="26"/>
        <item x="2"/>
        <item x="32"/>
        <item x="8"/>
        <item x="38"/>
        <item x="14"/>
        <item x="43"/>
        <item x="20"/>
        <item x="49"/>
        <item x="27"/>
        <item x="3"/>
        <item x="33"/>
        <item x="9"/>
        <item x="53"/>
        <item x="15"/>
        <item x="44"/>
        <item x="21"/>
        <item x="50"/>
        <item x="28"/>
        <item x="4"/>
        <item x="34"/>
        <item x="10"/>
        <item x="39"/>
        <item x="16"/>
        <item x="45"/>
        <item x="22"/>
        <item x="51"/>
        <item t="default"/>
      </items>
    </pivotField>
    <pivotField showAll="0"/>
    <pivotField numFmtId="9" showAll="0"/>
    <pivotField showAll="0"/>
    <pivotField showAll="0">
      <items count="5">
        <item x="0"/>
        <item x="2"/>
        <item x="1"/>
        <item x="3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4">
    <i>
      <x v="4"/>
    </i>
    <i>
      <x v="11"/>
    </i>
    <i>
      <x v="3"/>
    </i>
    <i>
      <x v="6"/>
    </i>
    <i>
      <x v="9"/>
    </i>
    <i>
      <x v="5"/>
    </i>
    <i>
      <x/>
    </i>
    <i>
      <x v="1"/>
    </i>
    <i>
      <x v="10"/>
    </i>
    <i>
      <x v="2"/>
    </i>
    <i>
      <x v="8"/>
    </i>
    <i>
      <x v="12"/>
    </i>
    <i>
      <x v="7"/>
    </i>
    <i t="grand">
      <x/>
    </i>
  </rowItems>
  <colItems count="1">
    <i/>
  </colItems>
  <dataFields count="1">
    <dataField name="Sum of Total Sales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69C5-958B-4540-ADFD-0A47A6DD1CD2}">
  <dimension ref="A1:D21"/>
  <sheetViews>
    <sheetView workbookViewId="0">
      <selection activeCell="F7" sqref="F7"/>
    </sheetView>
  </sheetViews>
  <sheetFormatPr defaultRowHeight="15" x14ac:dyDescent="0.25"/>
  <cols>
    <col min="1" max="1" width="17.42578125" customWidth="1"/>
    <col min="2" max="2" width="20.42578125" customWidth="1"/>
    <col min="3" max="3" width="16.28515625" customWidth="1"/>
    <col min="4" max="4" width="17.5703125" customWidth="1"/>
    <col min="5" max="5" width="12" customWidth="1"/>
  </cols>
  <sheetData>
    <row r="1" spans="1:4" x14ac:dyDescent="0.25">
      <c r="A1" s="1" t="s">
        <v>2</v>
      </c>
      <c r="B1" s="1" t="s">
        <v>18</v>
      </c>
      <c r="C1" s="1" t="s">
        <v>22</v>
      </c>
      <c r="D1" s="1" t="s">
        <v>26</v>
      </c>
    </row>
    <row r="2" spans="1:4" x14ac:dyDescent="0.25">
      <c r="A2" t="s">
        <v>32</v>
      </c>
      <c r="B2" t="s">
        <v>35</v>
      </c>
      <c r="C2" t="s">
        <v>37</v>
      </c>
      <c r="D2" s="5" t="s">
        <v>38</v>
      </c>
    </row>
    <row r="3" spans="1:4" x14ac:dyDescent="0.25">
      <c r="A3" t="s">
        <v>29</v>
      </c>
      <c r="B3" t="s">
        <v>44</v>
      </c>
      <c r="C3" t="s">
        <v>45</v>
      </c>
      <c r="D3" s="5" t="s">
        <v>46</v>
      </c>
    </row>
    <row r="4" spans="1:4" x14ac:dyDescent="0.25">
      <c r="A4" t="s">
        <v>50</v>
      </c>
      <c r="B4" t="s">
        <v>52</v>
      </c>
      <c r="C4" t="s">
        <v>54</v>
      </c>
      <c r="D4" t="s">
        <v>38</v>
      </c>
    </row>
    <row r="5" spans="1:4" x14ac:dyDescent="0.25">
      <c r="A5" t="s">
        <v>57</v>
      </c>
      <c r="B5" t="s">
        <v>59</v>
      </c>
      <c r="C5" t="s">
        <v>61</v>
      </c>
      <c r="D5" t="s">
        <v>46</v>
      </c>
    </row>
    <row r="6" spans="1:4" x14ac:dyDescent="0.25">
      <c r="A6" t="s">
        <v>65</v>
      </c>
      <c r="B6" t="s">
        <v>67</v>
      </c>
      <c r="C6" t="s">
        <v>68</v>
      </c>
      <c r="D6" t="s">
        <v>38</v>
      </c>
    </row>
    <row r="7" spans="1:4" x14ac:dyDescent="0.25">
      <c r="A7" t="s">
        <v>71</v>
      </c>
      <c r="B7" t="s">
        <v>74</v>
      </c>
      <c r="C7" t="s">
        <v>76</v>
      </c>
      <c r="D7" t="s">
        <v>77</v>
      </c>
    </row>
    <row r="8" spans="1:4" x14ac:dyDescent="0.25">
      <c r="A8" t="s">
        <v>79</v>
      </c>
      <c r="B8" t="s">
        <v>80</v>
      </c>
      <c r="C8" t="s">
        <v>81</v>
      </c>
      <c r="D8" t="s">
        <v>38</v>
      </c>
    </row>
    <row r="9" spans="1:4" x14ac:dyDescent="0.25">
      <c r="A9" t="s">
        <v>10</v>
      </c>
      <c r="B9" t="s">
        <v>84</v>
      </c>
      <c r="C9" t="s">
        <v>85</v>
      </c>
      <c r="D9" t="s">
        <v>46</v>
      </c>
    </row>
    <row r="10" spans="1:4" x14ac:dyDescent="0.25">
      <c r="A10" t="s">
        <v>36</v>
      </c>
      <c r="B10" t="s">
        <v>87</v>
      </c>
      <c r="C10" t="s">
        <v>37</v>
      </c>
      <c r="D10" t="s">
        <v>77</v>
      </c>
    </row>
    <row r="11" spans="1:4" x14ac:dyDescent="0.25">
      <c r="A11" t="s">
        <v>66</v>
      </c>
      <c r="B11" t="s">
        <v>90</v>
      </c>
      <c r="C11" t="s">
        <v>45</v>
      </c>
      <c r="D11" t="s">
        <v>38</v>
      </c>
    </row>
    <row r="12" spans="1:4" x14ac:dyDescent="0.25">
      <c r="A12" t="s">
        <v>94</v>
      </c>
      <c r="B12" t="s">
        <v>95</v>
      </c>
      <c r="C12" t="s">
        <v>97</v>
      </c>
      <c r="D12" t="s">
        <v>38</v>
      </c>
    </row>
    <row r="13" spans="1:4" x14ac:dyDescent="0.25">
      <c r="A13" t="s">
        <v>98</v>
      </c>
      <c r="B13" t="s">
        <v>100</v>
      </c>
      <c r="C13" t="s">
        <v>101</v>
      </c>
      <c r="D13" t="s">
        <v>46</v>
      </c>
    </row>
    <row r="14" spans="1:4" x14ac:dyDescent="0.25">
      <c r="A14" t="s">
        <v>103</v>
      </c>
      <c r="B14" t="s">
        <v>104</v>
      </c>
      <c r="C14" t="s">
        <v>106</v>
      </c>
      <c r="D14" t="s">
        <v>38</v>
      </c>
    </row>
    <row r="15" spans="1:4" x14ac:dyDescent="0.25">
      <c r="A15" t="s">
        <v>109</v>
      </c>
      <c r="B15" t="s">
        <v>110</v>
      </c>
      <c r="C15" t="s">
        <v>111</v>
      </c>
      <c r="D15" t="s">
        <v>77</v>
      </c>
    </row>
    <row r="16" spans="1:4" x14ac:dyDescent="0.25">
      <c r="A16" t="s">
        <v>19</v>
      </c>
      <c r="B16" t="s">
        <v>113</v>
      </c>
      <c r="C16" t="s">
        <v>37</v>
      </c>
      <c r="D16" t="s">
        <v>46</v>
      </c>
    </row>
    <row r="17" spans="1:4" x14ac:dyDescent="0.25">
      <c r="A17" t="s">
        <v>49</v>
      </c>
      <c r="B17" t="s">
        <v>116</v>
      </c>
      <c r="C17" t="s">
        <v>117</v>
      </c>
      <c r="D17" t="s">
        <v>38</v>
      </c>
    </row>
    <row r="18" spans="1:4" x14ac:dyDescent="0.25">
      <c r="A18" t="s">
        <v>75</v>
      </c>
      <c r="B18" t="s">
        <v>120</v>
      </c>
      <c r="C18" t="s">
        <v>54</v>
      </c>
      <c r="D18" t="s">
        <v>46</v>
      </c>
    </row>
    <row r="19" spans="1:4" x14ac:dyDescent="0.25">
      <c r="A19" t="s">
        <v>91</v>
      </c>
      <c r="B19" t="s">
        <v>124</v>
      </c>
      <c r="C19" t="s">
        <v>61</v>
      </c>
      <c r="D19" t="s">
        <v>38</v>
      </c>
    </row>
    <row r="20" spans="1:4" x14ac:dyDescent="0.25">
      <c r="A20" t="s">
        <v>107</v>
      </c>
      <c r="B20" t="s">
        <v>126</v>
      </c>
      <c r="C20" t="s">
        <v>68</v>
      </c>
      <c r="D20" t="s">
        <v>77</v>
      </c>
    </row>
    <row r="21" spans="1:4" x14ac:dyDescent="0.25">
      <c r="A21" t="s">
        <v>121</v>
      </c>
      <c r="B21" t="s">
        <v>129</v>
      </c>
      <c r="C21" t="s">
        <v>76</v>
      </c>
      <c r="D21" t="s">
        <v>46</v>
      </c>
    </row>
  </sheetData>
  <autoFilter ref="A1:D1000" xr:uid="{504169C5-958B-4540-ADFD-0A47A6DD1C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671-D968-4158-913D-6D4DC9EF89C2}">
  <dimension ref="A1:D11"/>
  <sheetViews>
    <sheetView workbookViewId="0">
      <selection activeCell="C4" sqref="C4"/>
    </sheetView>
  </sheetViews>
  <sheetFormatPr defaultRowHeight="15" x14ac:dyDescent="0.25"/>
  <cols>
    <col min="1" max="1" width="13.28515625" customWidth="1"/>
    <col min="2" max="2" width="21.85546875" customWidth="1"/>
    <col min="3" max="3" width="19.140625" customWidth="1"/>
    <col min="4" max="4" width="12.5703125" customWidth="1"/>
  </cols>
  <sheetData>
    <row r="1" spans="1:4" x14ac:dyDescent="0.25">
      <c r="A1" s="1" t="s">
        <v>1</v>
      </c>
      <c r="B1" s="1" t="s">
        <v>6</v>
      </c>
      <c r="C1" s="1" t="s">
        <v>8</v>
      </c>
      <c r="D1" s="3" t="s">
        <v>9</v>
      </c>
    </row>
    <row r="2" spans="1:4" x14ac:dyDescent="0.25">
      <c r="A2" t="s">
        <v>12</v>
      </c>
      <c r="B2" s="2" t="s">
        <v>14</v>
      </c>
      <c r="C2" s="2" t="s">
        <v>15</v>
      </c>
      <c r="D2" s="4">
        <v>450000</v>
      </c>
    </row>
    <row r="3" spans="1:4" x14ac:dyDescent="0.25">
      <c r="A3" t="s">
        <v>17</v>
      </c>
      <c r="B3" s="2" t="s">
        <v>20</v>
      </c>
      <c r="C3" s="2" t="s">
        <v>15</v>
      </c>
      <c r="D3" s="4">
        <v>180000</v>
      </c>
    </row>
    <row r="4" spans="1:4" x14ac:dyDescent="0.25">
      <c r="A4" t="s">
        <v>24</v>
      </c>
      <c r="B4" s="2" t="s">
        <v>25</v>
      </c>
      <c r="C4" s="5" t="s">
        <v>28</v>
      </c>
      <c r="D4" s="4">
        <v>15000</v>
      </c>
    </row>
    <row r="5" spans="1:4" x14ac:dyDescent="0.25">
      <c r="A5" t="s">
        <v>11</v>
      </c>
      <c r="B5" s="2" t="s">
        <v>33</v>
      </c>
      <c r="C5" s="2" t="s">
        <v>28</v>
      </c>
      <c r="D5" s="4">
        <v>8000</v>
      </c>
    </row>
    <row r="6" spans="1:4" x14ac:dyDescent="0.25">
      <c r="A6" t="s">
        <v>40</v>
      </c>
      <c r="B6" s="2" t="s">
        <v>41</v>
      </c>
      <c r="C6" s="2" t="s">
        <v>42</v>
      </c>
      <c r="D6" s="4">
        <v>120000</v>
      </c>
    </row>
    <row r="7" spans="1:4" x14ac:dyDescent="0.25">
      <c r="A7" t="s">
        <v>47</v>
      </c>
      <c r="B7" s="2" t="s">
        <v>48</v>
      </c>
      <c r="C7" s="2" t="s">
        <v>51</v>
      </c>
      <c r="D7" s="4">
        <v>95000</v>
      </c>
    </row>
    <row r="8" spans="1:4" x14ac:dyDescent="0.25">
      <c r="A8" t="s">
        <v>21</v>
      </c>
      <c r="B8" s="2" t="s">
        <v>56</v>
      </c>
      <c r="C8" s="2" t="s">
        <v>51</v>
      </c>
      <c r="D8" s="4">
        <v>140000</v>
      </c>
    </row>
    <row r="9" spans="1:4" x14ac:dyDescent="0.25">
      <c r="A9" t="s">
        <v>62</v>
      </c>
      <c r="B9" s="2" t="s">
        <v>63</v>
      </c>
      <c r="C9" s="2" t="s">
        <v>28</v>
      </c>
      <c r="D9" s="4">
        <v>25000</v>
      </c>
    </row>
    <row r="10" spans="1:4" x14ac:dyDescent="0.25">
      <c r="A10" t="s">
        <v>58</v>
      </c>
      <c r="B10" s="2" t="s">
        <v>69</v>
      </c>
      <c r="C10" s="2" t="s">
        <v>15</v>
      </c>
      <c r="D10" s="4">
        <v>220000</v>
      </c>
    </row>
    <row r="11" spans="1:4" x14ac:dyDescent="0.25">
      <c r="A11" t="s">
        <v>30</v>
      </c>
      <c r="B11" s="2" t="s">
        <v>73</v>
      </c>
      <c r="C11" s="2" t="s">
        <v>15</v>
      </c>
      <c r="D11" s="4">
        <v>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CFE9-528A-4423-9726-E5321D434267}">
  <dimension ref="A1:K152"/>
  <sheetViews>
    <sheetView topLeftCell="A29" workbookViewId="0">
      <selection activeCell="M22" sqref="M22"/>
    </sheetView>
  </sheetViews>
  <sheetFormatPr defaultRowHeight="15" x14ac:dyDescent="0.25"/>
  <cols>
    <col min="1" max="1" width="14.28515625" customWidth="1"/>
    <col min="2" max="2" width="16.7109375" customWidth="1"/>
    <col min="3" max="3" width="14.5703125" customWidth="1"/>
    <col min="4" max="4" width="19.140625" customWidth="1"/>
    <col min="5" max="5" width="13.5703125" customWidth="1"/>
    <col min="6" max="6" width="12.5703125" style="8" customWidth="1"/>
    <col min="7" max="7" width="11" customWidth="1"/>
    <col min="8" max="8" width="11.85546875" customWidth="1"/>
    <col min="9" max="9" width="15.85546875" customWidth="1"/>
    <col min="10" max="10" width="18.5703125" customWidth="1"/>
    <col min="11" max="11" width="13.28515625" style="10" customWidth="1"/>
  </cols>
  <sheetData>
    <row r="1" spans="1:1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6" t="s">
        <v>5</v>
      </c>
    </row>
    <row r="2" spans="1:11" x14ac:dyDescent="0.25">
      <c r="A2" t="s">
        <v>7</v>
      </c>
      <c r="B2" t="s">
        <v>10</v>
      </c>
      <c r="C2" t="s">
        <v>11</v>
      </c>
      <c r="D2" s="2" t="s">
        <v>13</v>
      </c>
      <c r="E2" s="2">
        <v>2</v>
      </c>
      <c r="F2" s="7">
        <v>0</v>
      </c>
      <c r="K2" s="9"/>
    </row>
    <row r="3" spans="1:11" x14ac:dyDescent="0.25">
      <c r="A3" t="s">
        <v>16</v>
      </c>
      <c r="B3" t="s">
        <v>19</v>
      </c>
      <c r="C3" t="s">
        <v>21</v>
      </c>
      <c r="D3" s="2" t="s">
        <v>23</v>
      </c>
      <c r="E3" s="2">
        <v>3</v>
      </c>
      <c r="F3" s="7">
        <v>0</v>
      </c>
      <c r="K3" s="9"/>
    </row>
    <row r="4" spans="1:11" x14ac:dyDescent="0.25">
      <c r="A4" t="s">
        <v>27</v>
      </c>
      <c r="B4" t="s">
        <v>29</v>
      </c>
      <c r="C4" t="s">
        <v>30</v>
      </c>
      <c r="D4" s="2" t="s">
        <v>31</v>
      </c>
      <c r="E4" s="2">
        <v>4</v>
      </c>
      <c r="F4" s="7">
        <v>0</v>
      </c>
      <c r="K4" s="9"/>
    </row>
    <row r="5" spans="1:11" x14ac:dyDescent="0.25">
      <c r="A5" t="s">
        <v>34</v>
      </c>
      <c r="B5" t="s">
        <v>36</v>
      </c>
      <c r="C5" t="s">
        <v>24</v>
      </c>
      <c r="D5" s="2" t="s">
        <v>39</v>
      </c>
      <c r="E5" s="2">
        <v>5</v>
      </c>
      <c r="F5" s="7">
        <v>0</v>
      </c>
      <c r="K5" s="9"/>
    </row>
    <row r="6" spans="1:11" x14ac:dyDescent="0.25">
      <c r="A6" t="s">
        <v>43</v>
      </c>
      <c r="B6" t="s">
        <v>49</v>
      </c>
      <c r="C6" t="s">
        <v>47</v>
      </c>
      <c r="D6" s="2" t="s">
        <v>53</v>
      </c>
      <c r="E6" s="2">
        <v>1</v>
      </c>
      <c r="F6" s="7">
        <v>0</v>
      </c>
      <c r="K6" s="9"/>
    </row>
    <row r="7" spans="1:11" x14ac:dyDescent="0.25">
      <c r="A7" t="s">
        <v>55</v>
      </c>
      <c r="B7" t="s">
        <v>50</v>
      </c>
      <c r="C7" t="s">
        <v>58</v>
      </c>
      <c r="D7" s="2" t="s">
        <v>60</v>
      </c>
      <c r="E7" s="2">
        <v>2</v>
      </c>
      <c r="F7" s="7">
        <v>0</v>
      </c>
      <c r="K7" s="9"/>
    </row>
    <row r="8" spans="1:11" x14ac:dyDescent="0.25">
      <c r="A8" t="s">
        <v>64</v>
      </c>
      <c r="B8" t="s">
        <v>66</v>
      </c>
      <c r="C8" t="s">
        <v>17</v>
      </c>
      <c r="D8" s="2" t="s">
        <v>70</v>
      </c>
      <c r="E8" s="2">
        <v>3</v>
      </c>
      <c r="F8" s="7">
        <v>0.05</v>
      </c>
      <c r="K8" s="9"/>
    </row>
    <row r="9" spans="1:11" x14ac:dyDescent="0.25">
      <c r="A9" t="s">
        <v>72</v>
      </c>
      <c r="B9" t="s">
        <v>75</v>
      </c>
      <c r="C9" t="s">
        <v>40</v>
      </c>
      <c r="D9" s="2" t="s">
        <v>78</v>
      </c>
      <c r="E9" s="2">
        <v>4</v>
      </c>
      <c r="F9" s="7">
        <v>0</v>
      </c>
      <c r="K9" s="9"/>
    </row>
    <row r="10" spans="1:11" x14ac:dyDescent="0.25">
      <c r="A10" t="s">
        <v>82</v>
      </c>
      <c r="B10" t="s">
        <v>57</v>
      </c>
      <c r="C10" t="s">
        <v>62</v>
      </c>
      <c r="D10" s="2" t="s">
        <v>83</v>
      </c>
      <c r="E10" s="2">
        <v>5</v>
      </c>
      <c r="F10" s="7">
        <v>0</v>
      </c>
      <c r="K10" s="9"/>
    </row>
    <row r="11" spans="1:11" x14ac:dyDescent="0.25">
      <c r="A11" t="s">
        <v>86</v>
      </c>
      <c r="B11" t="s">
        <v>66</v>
      </c>
      <c r="C11" t="s">
        <v>12</v>
      </c>
      <c r="D11" s="2" t="s">
        <v>88</v>
      </c>
      <c r="E11" s="2">
        <v>1</v>
      </c>
      <c r="F11" s="7">
        <v>0</v>
      </c>
      <c r="K11" s="9"/>
    </row>
    <row r="12" spans="1:11" x14ac:dyDescent="0.25">
      <c r="A12" t="s">
        <v>89</v>
      </c>
      <c r="B12" t="s">
        <v>91</v>
      </c>
      <c r="C12" t="s">
        <v>11</v>
      </c>
      <c r="D12" s="2" t="s">
        <v>92</v>
      </c>
      <c r="E12" s="2">
        <v>2</v>
      </c>
      <c r="F12" s="7">
        <v>0.1</v>
      </c>
      <c r="K12" s="9"/>
    </row>
    <row r="13" spans="1:11" x14ac:dyDescent="0.25">
      <c r="A13" t="s">
        <v>93</v>
      </c>
      <c r="B13" t="s">
        <v>65</v>
      </c>
      <c r="C13" t="s">
        <v>21</v>
      </c>
      <c r="D13" s="2" t="s">
        <v>96</v>
      </c>
      <c r="E13" s="2">
        <v>3</v>
      </c>
      <c r="F13" s="7">
        <v>0</v>
      </c>
      <c r="K13" s="9"/>
    </row>
    <row r="14" spans="1:11" x14ac:dyDescent="0.25">
      <c r="A14" t="s">
        <v>99</v>
      </c>
      <c r="B14" t="s">
        <v>98</v>
      </c>
      <c r="C14" t="s">
        <v>30</v>
      </c>
      <c r="D14" s="2" t="s">
        <v>102</v>
      </c>
      <c r="E14" s="2">
        <v>4</v>
      </c>
      <c r="F14" s="7">
        <v>0</v>
      </c>
      <c r="K14" s="9"/>
    </row>
    <row r="15" spans="1:11" x14ac:dyDescent="0.25">
      <c r="A15" t="s">
        <v>105</v>
      </c>
      <c r="B15" t="s">
        <v>107</v>
      </c>
      <c r="C15" t="s">
        <v>24</v>
      </c>
      <c r="D15" s="2" t="s">
        <v>108</v>
      </c>
      <c r="E15" s="2">
        <v>5</v>
      </c>
      <c r="F15" s="7">
        <v>0.05</v>
      </c>
      <c r="K15" s="9"/>
    </row>
    <row r="16" spans="1:11" x14ac:dyDescent="0.25">
      <c r="A16" t="s">
        <v>112</v>
      </c>
      <c r="B16" t="s">
        <v>71</v>
      </c>
      <c r="C16" t="s">
        <v>47</v>
      </c>
      <c r="D16" s="2" t="s">
        <v>114</v>
      </c>
      <c r="E16" s="2">
        <v>1</v>
      </c>
      <c r="F16" s="7">
        <v>0</v>
      </c>
      <c r="K16" s="9"/>
    </row>
    <row r="17" spans="1:11" x14ac:dyDescent="0.25">
      <c r="A17" t="s">
        <v>115</v>
      </c>
      <c r="B17" t="s">
        <v>103</v>
      </c>
      <c r="C17" t="s">
        <v>58</v>
      </c>
      <c r="D17" s="2" t="s">
        <v>118</v>
      </c>
      <c r="E17" s="2">
        <v>2</v>
      </c>
      <c r="F17" s="7">
        <v>0</v>
      </c>
      <c r="K17" s="9"/>
    </row>
    <row r="18" spans="1:11" x14ac:dyDescent="0.25">
      <c r="A18" t="s">
        <v>119</v>
      </c>
      <c r="B18" t="s">
        <v>121</v>
      </c>
      <c r="C18" t="s">
        <v>17</v>
      </c>
      <c r="D18" s="2" t="s">
        <v>122</v>
      </c>
      <c r="E18" s="2">
        <v>3</v>
      </c>
      <c r="F18" s="7">
        <v>0</v>
      </c>
      <c r="K18" s="9"/>
    </row>
    <row r="19" spans="1:11" x14ac:dyDescent="0.25">
      <c r="A19" t="s">
        <v>123</v>
      </c>
      <c r="B19" t="s">
        <v>79</v>
      </c>
      <c r="C19" t="s">
        <v>40</v>
      </c>
      <c r="D19" s="2" t="s">
        <v>125</v>
      </c>
      <c r="E19" s="2">
        <v>4</v>
      </c>
      <c r="F19" s="7">
        <v>0</v>
      </c>
      <c r="K19" s="9"/>
    </row>
    <row r="20" spans="1:11" x14ac:dyDescent="0.25">
      <c r="A20" t="s">
        <v>127</v>
      </c>
      <c r="B20" t="s">
        <v>109</v>
      </c>
      <c r="C20" t="s">
        <v>62</v>
      </c>
      <c r="D20" s="2" t="s">
        <v>128</v>
      </c>
      <c r="E20" s="2">
        <v>5</v>
      </c>
      <c r="F20" s="7">
        <v>0</v>
      </c>
      <c r="K20" s="9"/>
    </row>
    <row r="21" spans="1:11" x14ac:dyDescent="0.25">
      <c r="A21" t="s">
        <v>130</v>
      </c>
      <c r="B21" t="s">
        <v>32</v>
      </c>
      <c r="C21" t="s">
        <v>12</v>
      </c>
      <c r="D21" s="2" t="s">
        <v>131</v>
      </c>
      <c r="E21" s="2">
        <v>1</v>
      </c>
      <c r="F21" s="7">
        <v>0</v>
      </c>
      <c r="K21" s="9"/>
    </row>
    <row r="22" spans="1:11" x14ac:dyDescent="0.25">
      <c r="A22" t="s">
        <v>132</v>
      </c>
      <c r="B22" t="s">
        <v>10</v>
      </c>
      <c r="C22" t="s">
        <v>11</v>
      </c>
      <c r="D22" s="2" t="s">
        <v>133</v>
      </c>
      <c r="E22" s="2">
        <v>2</v>
      </c>
      <c r="F22" s="7">
        <v>0.05</v>
      </c>
      <c r="K22" s="9"/>
    </row>
    <row r="23" spans="1:11" x14ac:dyDescent="0.25">
      <c r="A23" t="s">
        <v>134</v>
      </c>
      <c r="B23" t="s">
        <v>19</v>
      </c>
      <c r="C23" t="s">
        <v>21</v>
      </c>
      <c r="D23" s="2" t="s">
        <v>135</v>
      </c>
      <c r="E23" s="2">
        <v>3</v>
      </c>
      <c r="F23" s="7">
        <v>0.1</v>
      </c>
      <c r="K23" s="9"/>
    </row>
    <row r="24" spans="1:11" x14ac:dyDescent="0.25">
      <c r="A24" t="s">
        <v>136</v>
      </c>
      <c r="B24" t="s">
        <v>29</v>
      </c>
      <c r="C24" t="s">
        <v>30</v>
      </c>
      <c r="D24" s="2" t="s">
        <v>137</v>
      </c>
      <c r="E24" s="2">
        <v>4</v>
      </c>
      <c r="F24" s="7">
        <v>0</v>
      </c>
      <c r="K24" s="9"/>
    </row>
    <row r="25" spans="1:11" x14ac:dyDescent="0.25">
      <c r="A25" t="s">
        <v>138</v>
      </c>
      <c r="B25" t="s">
        <v>36</v>
      </c>
      <c r="C25" t="s">
        <v>24</v>
      </c>
      <c r="D25" s="2" t="s">
        <v>139</v>
      </c>
      <c r="E25" s="2">
        <v>5</v>
      </c>
      <c r="F25" s="7">
        <v>0</v>
      </c>
      <c r="K25" s="9"/>
    </row>
    <row r="26" spans="1:11" x14ac:dyDescent="0.25">
      <c r="A26" t="s">
        <v>140</v>
      </c>
      <c r="B26" t="s">
        <v>49</v>
      </c>
      <c r="C26" t="s">
        <v>47</v>
      </c>
      <c r="D26" s="2" t="s">
        <v>141</v>
      </c>
      <c r="E26" s="2">
        <v>1</v>
      </c>
      <c r="F26" s="7">
        <v>0</v>
      </c>
      <c r="K26" s="9"/>
    </row>
    <row r="27" spans="1:11" x14ac:dyDescent="0.25">
      <c r="A27" t="s">
        <v>142</v>
      </c>
      <c r="B27" t="s">
        <v>50</v>
      </c>
      <c r="C27" t="s">
        <v>58</v>
      </c>
      <c r="D27" s="2" t="s">
        <v>143</v>
      </c>
      <c r="E27" s="2">
        <v>2</v>
      </c>
      <c r="F27" s="7">
        <v>0</v>
      </c>
      <c r="K27" s="9"/>
    </row>
    <row r="28" spans="1:11" x14ac:dyDescent="0.25">
      <c r="A28" t="s">
        <v>144</v>
      </c>
      <c r="B28" t="s">
        <v>66</v>
      </c>
      <c r="C28" t="s">
        <v>17</v>
      </c>
      <c r="D28" s="2" t="s">
        <v>145</v>
      </c>
      <c r="E28" s="2">
        <v>3</v>
      </c>
      <c r="F28" s="7">
        <v>0</v>
      </c>
      <c r="K28" s="9"/>
    </row>
    <row r="29" spans="1:11" x14ac:dyDescent="0.25">
      <c r="A29" t="s">
        <v>146</v>
      </c>
      <c r="B29" t="s">
        <v>75</v>
      </c>
      <c r="C29" t="s">
        <v>40</v>
      </c>
      <c r="D29" s="2" t="s">
        <v>147</v>
      </c>
      <c r="E29" s="2">
        <v>4</v>
      </c>
      <c r="F29" s="7">
        <v>0.05</v>
      </c>
      <c r="K29" s="9"/>
    </row>
    <row r="30" spans="1:11" x14ac:dyDescent="0.25">
      <c r="A30" t="s">
        <v>148</v>
      </c>
      <c r="B30" t="s">
        <v>57</v>
      </c>
      <c r="C30" t="s">
        <v>62</v>
      </c>
      <c r="D30" s="2" t="s">
        <v>149</v>
      </c>
      <c r="E30" s="2">
        <v>5</v>
      </c>
      <c r="F30" s="7">
        <v>0</v>
      </c>
      <c r="K30" s="9"/>
    </row>
    <row r="31" spans="1:11" x14ac:dyDescent="0.25">
      <c r="A31" t="s">
        <v>150</v>
      </c>
      <c r="B31" t="s">
        <v>94</v>
      </c>
      <c r="C31" t="s">
        <v>12</v>
      </c>
      <c r="D31" s="2" t="s">
        <v>151</v>
      </c>
      <c r="E31" s="2">
        <v>1</v>
      </c>
      <c r="F31" s="7">
        <v>0</v>
      </c>
      <c r="K31" s="9"/>
    </row>
    <row r="32" spans="1:11" x14ac:dyDescent="0.25">
      <c r="A32" t="s">
        <v>152</v>
      </c>
      <c r="B32" t="s">
        <v>91</v>
      </c>
      <c r="C32" t="s">
        <v>11</v>
      </c>
      <c r="D32" s="2" t="s">
        <v>153</v>
      </c>
      <c r="E32" s="2">
        <v>2</v>
      </c>
      <c r="F32" s="7">
        <v>0</v>
      </c>
      <c r="K32" s="9"/>
    </row>
    <row r="33" spans="1:11" x14ac:dyDescent="0.25">
      <c r="A33" t="s">
        <v>154</v>
      </c>
      <c r="B33" t="s">
        <v>65</v>
      </c>
      <c r="C33" t="s">
        <v>21</v>
      </c>
      <c r="D33" s="2" t="s">
        <v>155</v>
      </c>
      <c r="E33" s="2">
        <v>3</v>
      </c>
      <c r="F33" s="7">
        <v>0</v>
      </c>
      <c r="K33" s="9"/>
    </row>
    <row r="34" spans="1:11" x14ac:dyDescent="0.25">
      <c r="A34" t="s">
        <v>156</v>
      </c>
      <c r="B34" t="s">
        <v>98</v>
      </c>
      <c r="C34" t="s">
        <v>30</v>
      </c>
      <c r="D34" s="2" t="s">
        <v>157</v>
      </c>
      <c r="E34" s="2">
        <v>4</v>
      </c>
      <c r="F34" s="7">
        <v>0.1</v>
      </c>
      <c r="K34" s="9"/>
    </row>
    <row r="35" spans="1:11" x14ac:dyDescent="0.25">
      <c r="A35" t="s">
        <v>158</v>
      </c>
      <c r="B35" t="s">
        <v>107</v>
      </c>
      <c r="C35" t="s">
        <v>24</v>
      </c>
      <c r="D35" s="2" t="s">
        <v>159</v>
      </c>
      <c r="E35" s="2">
        <v>5</v>
      </c>
      <c r="F35" s="7">
        <v>0</v>
      </c>
      <c r="K35" s="9"/>
    </row>
    <row r="36" spans="1:11" x14ac:dyDescent="0.25">
      <c r="A36" t="s">
        <v>160</v>
      </c>
      <c r="B36" t="s">
        <v>71</v>
      </c>
      <c r="C36" t="s">
        <v>47</v>
      </c>
      <c r="D36" s="2" t="s">
        <v>161</v>
      </c>
      <c r="E36" s="2">
        <v>1</v>
      </c>
      <c r="F36" s="7">
        <v>0.05</v>
      </c>
      <c r="K36" s="9"/>
    </row>
    <row r="37" spans="1:11" x14ac:dyDescent="0.25">
      <c r="A37" t="s">
        <v>162</v>
      </c>
      <c r="B37" t="s">
        <v>103</v>
      </c>
      <c r="C37" t="s">
        <v>58</v>
      </c>
      <c r="D37" s="2" t="s">
        <v>163</v>
      </c>
      <c r="E37" s="2">
        <v>2</v>
      </c>
      <c r="F37" s="7">
        <v>0</v>
      </c>
      <c r="K37" s="9"/>
    </row>
    <row r="38" spans="1:11" x14ac:dyDescent="0.25">
      <c r="A38" t="s">
        <v>164</v>
      </c>
      <c r="B38" t="s">
        <v>121</v>
      </c>
      <c r="C38" t="s">
        <v>17</v>
      </c>
      <c r="D38" s="2" t="s">
        <v>165</v>
      </c>
      <c r="E38" s="2">
        <v>3</v>
      </c>
      <c r="F38" s="7">
        <v>0</v>
      </c>
      <c r="K38" s="9"/>
    </row>
    <row r="39" spans="1:11" x14ac:dyDescent="0.25">
      <c r="A39" t="s">
        <v>166</v>
      </c>
      <c r="B39" t="s">
        <v>79</v>
      </c>
      <c r="C39" t="s">
        <v>40</v>
      </c>
      <c r="D39" s="2" t="s">
        <v>167</v>
      </c>
      <c r="E39" s="2">
        <v>4</v>
      </c>
      <c r="F39" s="7">
        <v>0</v>
      </c>
      <c r="K39" s="9"/>
    </row>
    <row r="40" spans="1:11" x14ac:dyDescent="0.25">
      <c r="A40" t="s">
        <v>168</v>
      </c>
      <c r="B40" t="s">
        <v>109</v>
      </c>
      <c r="C40" t="s">
        <v>62</v>
      </c>
      <c r="D40" s="2" t="s">
        <v>169</v>
      </c>
      <c r="E40" s="2">
        <v>5</v>
      </c>
      <c r="F40" s="7">
        <v>0</v>
      </c>
      <c r="K40" s="9"/>
    </row>
    <row r="41" spans="1:11" x14ac:dyDescent="0.25">
      <c r="A41" t="s">
        <v>170</v>
      </c>
      <c r="B41" t="s">
        <v>171</v>
      </c>
      <c r="C41" t="s">
        <v>12</v>
      </c>
      <c r="D41" s="2" t="s">
        <v>172</v>
      </c>
      <c r="E41" s="2">
        <v>1</v>
      </c>
      <c r="F41" s="7">
        <v>0</v>
      </c>
      <c r="K41" s="9"/>
    </row>
    <row r="42" spans="1:11" x14ac:dyDescent="0.25">
      <c r="A42" t="s">
        <v>173</v>
      </c>
      <c r="B42" t="s">
        <v>10</v>
      </c>
      <c r="C42" t="s">
        <v>11</v>
      </c>
      <c r="D42" s="2" t="s">
        <v>174</v>
      </c>
      <c r="E42" s="2">
        <v>2</v>
      </c>
      <c r="F42" s="7">
        <v>0</v>
      </c>
      <c r="K42" s="9"/>
    </row>
    <row r="43" spans="1:11" x14ac:dyDescent="0.25">
      <c r="A43" t="s">
        <v>175</v>
      </c>
      <c r="B43" t="s">
        <v>19</v>
      </c>
      <c r="C43" t="s">
        <v>21</v>
      </c>
      <c r="D43" s="2" t="s">
        <v>176</v>
      </c>
      <c r="E43" s="2">
        <v>3</v>
      </c>
      <c r="F43" s="7">
        <v>0.05</v>
      </c>
      <c r="K43" s="9"/>
    </row>
    <row r="44" spans="1:11" x14ac:dyDescent="0.25">
      <c r="A44" t="s">
        <v>177</v>
      </c>
      <c r="B44" t="s">
        <v>29</v>
      </c>
      <c r="C44" t="s">
        <v>30</v>
      </c>
      <c r="D44" s="2" t="s">
        <v>178</v>
      </c>
      <c r="E44" s="2">
        <v>4</v>
      </c>
      <c r="F44" s="7">
        <v>0</v>
      </c>
      <c r="K44" s="9"/>
    </row>
    <row r="45" spans="1:11" x14ac:dyDescent="0.25">
      <c r="A45" t="s">
        <v>179</v>
      </c>
      <c r="B45" t="s">
        <v>36</v>
      </c>
      <c r="C45" t="s">
        <v>24</v>
      </c>
      <c r="D45" s="2" t="s">
        <v>180</v>
      </c>
      <c r="E45" s="2">
        <v>5</v>
      </c>
      <c r="F45" s="7">
        <v>0.1</v>
      </c>
      <c r="K45" s="9"/>
    </row>
    <row r="46" spans="1:11" x14ac:dyDescent="0.25">
      <c r="A46" t="s">
        <v>181</v>
      </c>
      <c r="B46" t="s">
        <v>49</v>
      </c>
      <c r="C46" t="s">
        <v>47</v>
      </c>
      <c r="D46" s="2" t="s">
        <v>182</v>
      </c>
      <c r="E46" s="2">
        <v>1</v>
      </c>
      <c r="F46" s="7">
        <v>0</v>
      </c>
      <c r="K46" s="9"/>
    </row>
    <row r="47" spans="1:11" x14ac:dyDescent="0.25">
      <c r="A47" t="s">
        <v>183</v>
      </c>
      <c r="B47" t="s">
        <v>50</v>
      </c>
      <c r="C47" t="s">
        <v>58</v>
      </c>
      <c r="D47" s="2" t="s">
        <v>184</v>
      </c>
      <c r="E47" s="2">
        <v>2</v>
      </c>
      <c r="F47" s="7">
        <v>0</v>
      </c>
      <c r="K47" s="9"/>
    </row>
    <row r="48" spans="1:11" x14ac:dyDescent="0.25">
      <c r="A48" t="s">
        <v>185</v>
      </c>
      <c r="B48" t="s">
        <v>66</v>
      </c>
      <c r="C48" t="s">
        <v>17</v>
      </c>
      <c r="D48" s="2" t="s">
        <v>186</v>
      </c>
      <c r="E48" s="2">
        <v>3</v>
      </c>
      <c r="F48" s="7">
        <v>0</v>
      </c>
      <c r="K48" s="9"/>
    </row>
    <row r="49" spans="1:11" x14ac:dyDescent="0.25">
      <c r="A49" t="s">
        <v>187</v>
      </c>
      <c r="B49" t="s">
        <v>75</v>
      </c>
      <c r="C49" t="s">
        <v>40</v>
      </c>
      <c r="D49" s="2" t="s">
        <v>188</v>
      </c>
      <c r="E49" s="2">
        <v>4</v>
      </c>
      <c r="F49" s="7">
        <v>0</v>
      </c>
      <c r="K49" s="9"/>
    </row>
    <row r="50" spans="1:11" x14ac:dyDescent="0.25">
      <c r="A50" t="s">
        <v>189</v>
      </c>
      <c r="B50" t="s">
        <v>57</v>
      </c>
      <c r="C50" t="s">
        <v>62</v>
      </c>
      <c r="D50" s="2" t="s">
        <v>190</v>
      </c>
      <c r="E50" s="2">
        <v>5</v>
      </c>
      <c r="F50" s="7">
        <v>0.05</v>
      </c>
      <c r="K50" s="9"/>
    </row>
    <row r="51" spans="1:11" x14ac:dyDescent="0.25">
      <c r="A51" t="s">
        <v>191</v>
      </c>
      <c r="B51" t="s">
        <v>94</v>
      </c>
      <c r="C51" t="s">
        <v>12</v>
      </c>
      <c r="D51" s="2" t="s">
        <v>192</v>
      </c>
      <c r="E51" s="2">
        <v>1</v>
      </c>
      <c r="F51" s="7">
        <v>0</v>
      </c>
      <c r="K51" s="9"/>
    </row>
    <row r="52" spans="1:11" x14ac:dyDescent="0.25">
      <c r="A52" t="s">
        <v>193</v>
      </c>
      <c r="B52" t="s">
        <v>91</v>
      </c>
      <c r="C52" t="s">
        <v>11</v>
      </c>
      <c r="D52" s="2" t="s">
        <v>194</v>
      </c>
      <c r="E52" s="2">
        <v>2</v>
      </c>
      <c r="F52" s="7">
        <v>0</v>
      </c>
      <c r="K52" s="9"/>
    </row>
    <row r="53" spans="1:11" x14ac:dyDescent="0.25">
      <c r="A53" t="s">
        <v>195</v>
      </c>
      <c r="B53" t="s">
        <v>65</v>
      </c>
      <c r="C53" t="s">
        <v>21</v>
      </c>
      <c r="D53" s="2" t="s">
        <v>196</v>
      </c>
      <c r="E53" s="2">
        <v>3</v>
      </c>
      <c r="F53" s="7">
        <v>0</v>
      </c>
      <c r="K53" s="9"/>
    </row>
    <row r="54" spans="1:11" x14ac:dyDescent="0.25">
      <c r="A54" t="s">
        <v>197</v>
      </c>
      <c r="B54" t="s">
        <v>98</v>
      </c>
      <c r="C54" t="s">
        <v>30</v>
      </c>
      <c r="D54" s="2" t="s">
        <v>198</v>
      </c>
      <c r="E54" s="2">
        <v>4</v>
      </c>
      <c r="F54" s="7">
        <v>0</v>
      </c>
      <c r="K54" s="9"/>
    </row>
    <row r="55" spans="1:11" x14ac:dyDescent="0.25">
      <c r="A55" t="s">
        <v>199</v>
      </c>
      <c r="B55" t="s">
        <v>107</v>
      </c>
      <c r="C55" t="s">
        <v>24</v>
      </c>
      <c r="D55" s="2" t="s">
        <v>200</v>
      </c>
      <c r="E55" s="2">
        <v>5</v>
      </c>
      <c r="F55" s="7">
        <v>0</v>
      </c>
      <c r="K55" s="9"/>
    </row>
    <row r="56" spans="1:11" x14ac:dyDescent="0.25">
      <c r="A56" t="s">
        <v>201</v>
      </c>
      <c r="B56" t="s">
        <v>71</v>
      </c>
      <c r="C56" t="s">
        <v>47</v>
      </c>
      <c r="D56" s="2" t="s">
        <v>13</v>
      </c>
      <c r="E56" s="2">
        <v>1</v>
      </c>
      <c r="F56" s="7">
        <v>0.1</v>
      </c>
      <c r="K56" s="9"/>
    </row>
    <row r="57" spans="1:11" x14ac:dyDescent="0.25">
      <c r="A57" t="s">
        <v>202</v>
      </c>
      <c r="B57" t="s">
        <v>103</v>
      </c>
      <c r="C57" t="s">
        <v>58</v>
      </c>
      <c r="D57" s="2" t="s">
        <v>23</v>
      </c>
      <c r="E57" s="2">
        <v>2</v>
      </c>
      <c r="F57" s="7">
        <v>0.05</v>
      </c>
      <c r="K57" s="9"/>
    </row>
    <row r="58" spans="1:11" x14ac:dyDescent="0.25">
      <c r="A58" t="s">
        <v>203</v>
      </c>
      <c r="B58" t="s">
        <v>121</v>
      </c>
      <c r="C58" t="s">
        <v>17</v>
      </c>
      <c r="D58" s="2" t="s">
        <v>31</v>
      </c>
      <c r="E58" s="2">
        <v>3</v>
      </c>
      <c r="F58" s="7">
        <v>0</v>
      </c>
      <c r="K58" s="9"/>
    </row>
    <row r="59" spans="1:11" x14ac:dyDescent="0.25">
      <c r="A59" t="s">
        <v>204</v>
      </c>
      <c r="B59" t="s">
        <v>79</v>
      </c>
      <c r="C59" t="s">
        <v>40</v>
      </c>
      <c r="D59" s="2" t="s">
        <v>39</v>
      </c>
      <c r="E59" s="2">
        <v>4</v>
      </c>
      <c r="F59" s="7">
        <v>0</v>
      </c>
      <c r="K59" s="9"/>
    </row>
    <row r="60" spans="1:11" x14ac:dyDescent="0.25">
      <c r="A60" t="s">
        <v>205</v>
      </c>
      <c r="B60" t="s">
        <v>109</v>
      </c>
      <c r="C60" t="s">
        <v>62</v>
      </c>
      <c r="D60" s="2" t="s">
        <v>53</v>
      </c>
      <c r="E60" s="2">
        <v>5</v>
      </c>
      <c r="F60" s="7">
        <v>0</v>
      </c>
      <c r="K60" s="9"/>
    </row>
    <row r="61" spans="1:11" x14ac:dyDescent="0.25">
      <c r="A61" t="s">
        <v>206</v>
      </c>
      <c r="B61" t="s">
        <v>32</v>
      </c>
      <c r="C61" t="s">
        <v>12</v>
      </c>
      <c r="D61" s="2" t="s">
        <v>60</v>
      </c>
      <c r="E61" s="2">
        <v>1</v>
      </c>
      <c r="F61" s="7">
        <v>0</v>
      </c>
      <c r="K61" s="9"/>
    </row>
    <row r="62" spans="1:11" x14ac:dyDescent="0.25">
      <c r="A62" t="s">
        <v>207</v>
      </c>
      <c r="B62" t="s">
        <v>10</v>
      </c>
      <c r="C62" t="s">
        <v>11</v>
      </c>
      <c r="D62" s="2" t="s">
        <v>70</v>
      </c>
      <c r="E62" s="2">
        <v>2</v>
      </c>
      <c r="F62" s="7">
        <v>0</v>
      </c>
      <c r="K62" s="9"/>
    </row>
    <row r="63" spans="1:11" x14ac:dyDescent="0.25">
      <c r="A63" t="s">
        <v>208</v>
      </c>
      <c r="B63" t="s">
        <v>19</v>
      </c>
      <c r="C63" t="s">
        <v>21</v>
      </c>
      <c r="D63" s="2" t="s">
        <v>78</v>
      </c>
      <c r="E63" s="2">
        <v>3</v>
      </c>
      <c r="F63" s="7">
        <v>0</v>
      </c>
      <c r="K63" s="9"/>
    </row>
    <row r="64" spans="1:11" x14ac:dyDescent="0.25">
      <c r="A64" t="s">
        <v>209</v>
      </c>
      <c r="B64" t="s">
        <v>29</v>
      </c>
      <c r="C64" t="s">
        <v>30</v>
      </c>
      <c r="D64" s="2" t="s">
        <v>83</v>
      </c>
      <c r="E64" s="2">
        <v>4</v>
      </c>
      <c r="F64" s="7">
        <v>0.05</v>
      </c>
      <c r="K64" s="9"/>
    </row>
    <row r="65" spans="1:11" x14ac:dyDescent="0.25">
      <c r="A65" t="s">
        <v>210</v>
      </c>
      <c r="B65" t="s">
        <v>36</v>
      </c>
      <c r="C65" t="s">
        <v>24</v>
      </c>
      <c r="D65" s="2" t="s">
        <v>88</v>
      </c>
      <c r="E65" s="2">
        <v>5</v>
      </c>
      <c r="F65" s="7">
        <v>0</v>
      </c>
      <c r="K65" s="9"/>
    </row>
    <row r="66" spans="1:11" x14ac:dyDescent="0.25">
      <c r="A66" t="s">
        <v>211</v>
      </c>
      <c r="B66" t="s">
        <v>49</v>
      </c>
      <c r="C66" t="s">
        <v>47</v>
      </c>
      <c r="D66" s="2" t="s">
        <v>92</v>
      </c>
      <c r="E66" s="2">
        <v>1</v>
      </c>
      <c r="F66" s="7">
        <v>0</v>
      </c>
      <c r="K66" s="9"/>
    </row>
    <row r="67" spans="1:11" x14ac:dyDescent="0.25">
      <c r="A67" t="s">
        <v>212</v>
      </c>
      <c r="B67" t="s">
        <v>50</v>
      </c>
      <c r="C67" t="s">
        <v>58</v>
      </c>
      <c r="D67" s="2" t="s">
        <v>96</v>
      </c>
      <c r="E67" s="2">
        <v>2</v>
      </c>
      <c r="F67" s="7">
        <v>0.1</v>
      </c>
      <c r="K67" s="9"/>
    </row>
    <row r="68" spans="1:11" x14ac:dyDescent="0.25">
      <c r="A68" t="s">
        <v>213</v>
      </c>
      <c r="B68" t="s">
        <v>66</v>
      </c>
      <c r="C68" t="s">
        <v>17</v>
      </c>
      <c r="D68" s="2" t="s">
        <v>102</v>
      </c>
      <c r="E68" s="2">
        <v>3</v>
      </c>
      <c r="F68" s="7">
        <v>0</v>
      </c>
      <c r="K68" s="9"/>
    </row>
    <row r="69" spans="1:11" x14ac:dyDescent="0.25">
      <c r="A69" t="s">
        <v>214</v>
      </c>
      <c r="B69" t="s">
        <v>75</v>
      </c>
      <c r="C69" t="s">
        <v>40</v>
      </c>
      <c r="D69" s="2" t="s">
        <v>108</v>
      </c>
      <c r="E69" s="2">
        <v>4</v>
      </c>
      <c r="F69" s="7">
        <v>0</v>
      </c>
      <c r="K69" s="9"/>
    </row>
    <row r="70" spans="1:11" x14ac:dyDescent="0.25">
      <c r="A70" t="s">
        <v>215</v>
      </c>
      <c r="B70" t="s">
        <v>57</v>
      </c>
      <c r="C70" t="s">
        <v>62</v>
      </c>
      <c r="D70" s="2" t="s">
        <v>114</v>
      </c>
      <c r="E70" s="2">
        <v>5</v>
      </c>
      <c r="F70" s="7">
        <v>0</v>
      </c>
      <c r="K70" s="9"/>
    </row>
    <row r="71" spans="1:11" x14ac:dyDescent="0.25">
      <c r="A71" t="s">
        <v>216</v>
      </c>
      <c r="B71" t="s">
        <v>94</v>
      </c>
      <c r="C71" t="s">
        <v>12</v>
      </c>
      <c r="D71" s="2" t="s">
        <v>118</v>
      </c>
      <c r="E71" s="2">
        <v>1</v>
      </c>
      <c r="F71" s="7">
        <v>0.05</v>
      </c>
      <c r="K71" s="9"/>
    </row>
    <row r="72" spans="1:11" x14ac:dyDescent="0.25">
      <c r="A72" t="s">
        <v>217</v>
      </c>
      <c r="B72" t="s">
        <v>91</v>
      </c>
      <c r="C72" t="s">
        <v>11</v>
      </c>
      <c r="D72" s="2" t="s">
        <v>122</v>
      </c>
      <c r="E72" s="2">
        <v>2</v>
      </c>
      <c r="F72" s="7">
        <v>0</v>
      </c>
      <c r="K72" s="9"/>
    </row>
    <row r="73" spans="1:11" x14ac:dyDescent="0.25">
      <c r="A73" t="s">
        <v>218</v>
      </c>
      <c r="B73" t="s">
        <v>65</v>
      </c>
      <c r="C73" t="s">
        <v>21</v>
      </c>
      <c r="D73" s="2" t="s">
        <v>125</v>
      </c>
      <c r="E73" s="2">
        <v>3</v>
      </c>
      <c r="F73" s="7">
        <v>0</v>
      </c>
      <c r="K73" s="9"/>
    </row>
    <row r="74" spans="1:11" x14ac:dyDescent="0.25">
      <c r="A74" t="s">
        <v>219</v>
      </c>
      <c r="B74" t="s">
        <v>98</v>
      </c>
      <c r="C74" t="s">
        <v>30</v>
      </c>
      <c r="D74" s="2" t="s">
        <v>128</v>
      </c>
      <c r="E74" s="2">
        <v>4</v>
      </c>
      <c r="F74" s="7">
        <v>0</v>
      </c>
      <c r="K74" s="9"/>
    </row>
    <row r="75" spans="1:11" x14ac:dyDescent="0.25">
      <c r="A75" t="s">
        <v>220</v>
      </c>
      <c r="B75" t="s">
        <v>107</v>
      </c>
      <c r="C75" t="s">
        <v>24</v>
      </c>
      <c r="D75" s="2" t="s">
        <v>131</v>
      </c>
      <c r="E75" s="2">
        <v>5</v>
      </c>
      <c r="F75" s="7">
        <v>0</v>
      </c>
      <c r="K75" s="9"/>
    </row>
    <row r="76" spans="1:11" x14ac:dyDescent="0.25">
      <c r="A76" t="s">
        <v>221</v>
      </c>
      <c r="B76" t="s">
        <v>71</v>
      </c>
      <c r="C76" t="s">
        <v>47</v>
      </c>
      <c r="D76" s="2" t="s">
        <v>133</v>
      </c>
      <c r="E76" s="2">
        <v>1</v>
      </c>
      <c r="F76" s="7">
        <v>0</v>
      </c>
      <c r="K76" s="9"/>
    </row>
    <row r="77" spans="1:11" x14ac:dyDescent="0.25">
      <c r="A77" t="s">
        <v>222</v>
      </c>
      <c r="B77" t="s">
        <v>103</v>
      </c>
      <c r="C77" t="s">
        <v>58</v>
      </c>
      <c r="D77" s="2" t="s">
        <v>135</v>
      </c>
      <c r="E77" s="2">
        <v>2</v>
      </c>
      <c r="F77" s="7">
        <v>0</v>
      </c>
      <c r="K77" s="9"/>
    </row>
    <row r="78" spans="1:11" x14ac:dyDescent="0.25">
      <c r="A78" t="s">
        <v>223</v>
      </c>
      <c r="B78" t="s">
        <v>121</v>
      </c>
      <c r="C78" t="s">
        <v>17</v>
      </c>
      <c r="D78" s="2" t="s">
        <v>137</v>
      </c>
      <c r="E78" s="2">
        <v>3</v>
      </c>
      <c r="F78" s="7">
        <v>0.1</v>
      </c>
      <c r="K78" s="9"/>
    </row>
    <row r="79" spans="1:11" x14ac:dyDescent="0.25">
      <c r="A79" t="s">
        <v>224</v>
      </c>
      <c r="B79" t="s">
        <v>79</v>
      </c>
      <c r="C79" t="s">
        <v>40</v>
      </c>
      <c r="D79" s="2" t="s">
        <v>139</v>
      </c>
      <c r="E79" s="2">
        <v>4</v>
      </c>
      <c r="F79" s="7">
        <v>0</v>
      </c>
      <c r="K79" s="9"/>
    </row>
    <row r="80" spans="1:11" x14ac:dyDescent="0.25">
      <c r="A80" t="s">
        <v>225</v>
      </c>
      <c r="B80" t="s">
        <v>109</v>
      </c>
      <c r="C80" t="s">
        <v>62</v>
      </c>
      <c r="D80" s="2" t="s">
        <v>141</v>
      </c>
      <c r="E80" s="2">
        <v>5</v>
      </c>
      <c r="F80" s="7">
        <v>0</v>
      </c>
      <c r="K80" s="9"/>
    </row>
    <row r="81" spans="1:11" x14ac:dyDescent="0.25">
      <c r="A81" t="s">
        <v>226</v>
      </c>
      <c r="B81" t="s">
        <v>32</v>
      </c>
      <c r="C81" t="s">
        <v>227</v>
      </c>
      <c r="D81" s="2" t="s">
        <v>143</v>
      </c>
      <c r="E81" s="2">
        <v>1</v>
      </c>
      <c r="F81" s="7">
        <v>0</v>
      </c>
      <c r="K81" s="9"/>
    </row>
    <row r="82" spans="1:11" x14ac:dyDescent="0.25">
      <c r="A82" t="s">
        <v>228</v>
      </c>
      <c r="B82" t="s">
        <v>10</v>
      </c>
      <c r="C82" t="s">
        <v>11</v>
      </c>
      <c r="D82" s="2" t="s">
        <v>145</v>
      </c>
      <c r="E82" s="2">
        <v>2</v>
      </c>
      <c r="F82" s="7">
        <v>0</v>
      </c>
      <c r="K82" s="9"/>
    </row>
    <row r="83" spans="1:11" x14ac:dyDescent="0.25">
      <c r="A83" t="s">
        <v>229</v>
      </c>
      <c r="B83" t="s">
        <v>19</v>
      </c>
      <c r="C83" t="s">
        <v>21</v>
      </c>
      <c r="D83" s="2" t="s">
        <v>147</v>
      </c>
      <c r="E83" s="2">
        <v>3</v>
      </c>
      <c r="F83" s="7">
        <v>0</v>
      </c>
      <c r="K83" s="9"/>
    </row>
    <row r="84" spans="1:11" x14ac:dyDescent="0.25">
      <c r="A84" t="s">
        <v>230</v>
      </c>
      <c r="B84" t="s">
        <v>29</v>
      </c>
      <c r="C84" t="s">
        <v>30</v>
      </c>
      <c r="D84" s="2" t="s">
        <v>149</v>
      </c>
      <c r="E84" s="2">
        <v>4</v>
      </c>
      <c r="F84" s="7">
        <v>0</v>
      </c>
      <c r="K84" s="9"/>
    </row>
    <row r="85" spans="1:11" x14ac:dyDescent="0.25">
      <c r="A85" t="s">
        <v>231</v>
      </c>
      <c r="B85" t="s">
        <v>36</v>
      </c>
      <c r="C85" t="s">
        <v>24</v>
      </c>
      <c r="D85" s="2" t="s">
        <v>151</v>
      </c>
      <c r="E85" s="2">
        <v>5</v>
      </c>
      <c r="F85" s="7">
        <v>0.05</v>
      </c>
      <c r="K85" s="9"/>
    </row>
    <row r="86" spans="1:11" x14ac:dyDescent="0.25">
      <c r="A86" t="s">
        <v>232</v>
      </c>
      <c r="B86" t="s">
        <v>49</v>
      </c>
      <c r="C86" t="s">
        <v>47</v>
      </c>
      <c r="D86" s="2" t="s">
        <v>153</v>
      </c>
      <c r="E86" s="2">
        <v>1</v>
      </c>
      <c r="F86" s="7">
        <v>0</v>
      </c>
      <c r="K86" s="9"/>
    </row>
    <row r="87" spans="1:11" x14ac:dyDescent="0.25">
      <c r="A87" t="s">
        <v>233</v>
      </c>
      <c r="B87" t="s">
        <v>50</v>
      </c>
      <c r="C87" t="s">
        <v>58</v>
      </c>
      <c r="D87" s="2" t="s">
        <v>155</v>
      </c>
      <c r="E87" s="2">
        <v>2</v>
      </c>
      <c r="F87" s="7">
        <v>0</v>
      </c>
      <c r="K87" s="9"/>
    </row>
    <row r="88" spans="1:11" x14ac:dyDescent="0.25">
      <c r="A88" t="s">
        <v>234</v>
      </c>
      <c r="B88" t="s">
        <v>66</v>
      </c>
      <c r="C88" t="s">
        <v>17</v>
      </c>
      <c r="D88" s="2" t="s">
        <v>157</v>
      </c>
      <c r="E88" s="2">
        <v>3</v>
      </c>
      <c r="F88" s="7">
        <v>0</v>
      </c>
      <c r="K88" s="9"/>
    </row>
    <row r="89" spans="1:11" x14ac:dyDescent="0.25">
      <c r="A89" t="s">
        <v>235</v>
      </c>
      <c r="B89" t="s">
        <v>75</v>
      </c>
      <c r="C89" t="s">
        <v>40</v>
      </c>
      <c r="D89" s="2" t="s">
        <v>159</v>
      </c>
      <c r="E89" s="2">
        <v>4</v>
      </c>
      <c r="F89" s="7">
        <v>0.1</v>
      </c>
      <c r="K89" s="9"/>
    </row>
    <row r="90" spans="1:11" x14ac:dyDescent="0.25">
      <c r="A90" t="s">
        <v>236</v>
      </c>
      <c r="B90" t="s">
        <v>57</v>
      </c>
      <c r="C90" t="s">
        <v>62</v>
      </c>
      <c r="D90" s="2" t="s">
        <v>161</v>
      </c>
      <c r="E90" s="2">
        <v>5</v>
      </c>
      <c r="F90" s="7">
        <v>0</v>
      </c>
      <c r="K90" s="9"/>
    </row>
    <row r="91" spans="1:11" x14ac:dyDescent="0.25">
      <c r="A91" t="s">
        <v>237</v>
      </c>
      <c r="B91" t="s">
        <v>94</v>
      </c>
      <c r="C91" t="s">
        <v>12</v>
      </c>
      <c r="D91" s="2" t="s">
        <v>163</v>
      </c>
      <c r="E91" s="2">
        <v>1</v>
      </c>
      <c r="F91" s="7">
        <v>0</v>
      </c>
      <c r="K91" s="9"/>
    </row>
    <row r="92" spans="1:11" x14ac:dyDescent="0.25">
      <c r="A92" t="s">
        <v>238</v>
      </c>
      <c r="B92" t="s">
        <v>91</v>
      </c>
      <c r="C92" t="s">
        <v>11</v>
      </c>
      <c r="D92" s="2" t="s">
        <v>165</v>
      </c>
      <c r="E92" s="2">
        <v>2</v>
      </c>
      <c r="F92" s="7">
        <v>0.05</v>
      </c>
      <c r="K92" s="9"/>
    </row>
    <row r="93" spans="1:11" x14ac:dyDescent="0.25">
      <c r="A93" t="s">
        <v>239</v>
      </c>
      <c r="B93" t="s">
        <v>65</v>
      </c>
      <c r="C93" t="s">
        <v>21</v>
      </c>
      <c r="D93" s="2" t="s">
        <v>167</v>
      </c>
      <c r="E93" s="2">
        <v>3</v>
      </c>
      <c r="F93" s="7">
        <v>0</v>
      </c>
      <c r="K93" s="9"/>
    </row>
    <row r="94" spans="1:11" x14ac:dyDescent="0.25">
      <c r="A94" t="s">
        <v>240</v>
      </c>
      <c r="B94" t="s">
        <v>98</v>
      </c>
      <c r="C94" t="s">
        <v>30</v>
      </c>
      <c r="D94" s="2" t="s">
        <v>169</v>
      </c>
      <c r="E94" s="2">
        <v>4</v>
      </c>
      <c r="F94" s="7">
        <v>0</v>
      </c>
      <c r="K94" s="9"/>
    </row>
    <row r="95" spans="1:11" x14ac:dyDescent="0.25">
      <c r="A95" t="s">
        <v>241</v>
      </c>
      <c r="B95" t="s">
        <v>107</v>
      </c>
      <c r="C95" t="s">
        <v>24</v>
      </c>
      <c r="D95" s="2" t="s">
        <v>172</v>
      </c>
      <c r="E95" s="2">
        <v>5</v>
      </c>
      <c r="F95" s="7">
        <v>0</v>
      </c>
      <c r="K95" s="9"/>
    </row>
    <row r="96" spans="1:11" x14ac:dyDescent="0.25">
      <c r="A96" t="s">
        <v>242</v>
      </c>
      <c r="B96" t="s">
        <v>71</v>
      </c>
      <c r="C96" t="s">
        <v>47</v>
      </c>
      <c r="D96" s="2" t="s">
        <v>174</v>
      </c>
      <c r="E96" s="2">
        <v>1</v>
      </c>
      <c r="F96" s="7">
        <v>0</v>
      </c>
      <c r="K96" s="9"/>
    </row>
    <row r="97" spans="1:11" x14ac:dyDescent="0.25">
      <c r="A97" t="s">
        <v>243</v>
      </c>
      <c r="B97" t="s">
        <v>103</v>
      </c>
      <c r="C97" t="s">
        <v>58</v>
      </c>
      <c r="D97" s="2" t="s">
        <v>176</v>
      </c>
      <c r="E97" s="2">
        <v>2</v>
      </c>
      <c r="F97" s="7">
        <v>0</v>
      </c>
      <c r="K97" s="9"/>
    </row>
    <row r="98" spans="1:11" x14ac:dyDescent="0.25">
      <c r="A98" t="s">
        <v>244</v>
      </c>
      <c r="B98" t="s">
        <v>121</v>
      </c>
      <c r="C98" t="s">
        <v>17</v>
      </c>
      <c r="D98" s="2" t="s">
        <v>178</v>
      </c>
      <c r="E98" s="2">
        <v>3</v>
      </c>
      <c r="F98" s="7">
        <v>0</v>
      </c>
      <c r="K98" s="9"/>
    </row>
    <row r="99" spans="1:11" x14ac:dyDescent="0.25">
      <c r="A99" t="s">
        <v>245</v>
      </c>
      <c r="B99" t="s">
        <v>79</v>
      </c>
      <c r="C99" t="s">
        <v>40</v>
      </c>
      <c r="D99" s="2" t="s">
        <v>180</v>
      </c>
      <c r="E99" s="2">
        <v>4</v>
      </c>
      <c r="F99" s="7">
        <v>0.05</v>
      </c>
      <c r="K99" s="9"/>
    </row>
    <row r="100" spans="1:11" x14ac:dyDescent="0.25">
      <c r="A100" t="s">
        <v>246</v>
      </c>
      <c r="B100" t="s">
        <v>109</v>
      </c>
      <c r="C100" t="s">
        <v>62</v>
      </c>
      <c r="D100" s="2" t="s">
        <v>182</v>
      </c>
      <c r="E100" s="2">
        <v>5</v>
      </c>
      <c r="F100" s="7">
        <v>0.1</v>
      </c>
      <c r="K100" s="9"/>
    </row>
    <row r="101" spans="1:11" x14ac:dyDescent="0.25">
      <c r="A101" t="s">
        <v>247</v>
      </c>
      <c r="B101" t="s">
        <v>32</v>
      </c>
      <c r="C101" t="s">
        <v>12</v>
      </c>
      <c r="D101" s="2" t="s">
        <v>184</v>
      </c>
      <c r="E101" s="2">
        <v>1</v>
      </c>
      <c r="F101" s="7">
        <v>0</v>
      </c>
      <c r="K101" s="9"/>
    </row>
    <row r="102" spans="1:11" x14ac:dyDescent="0.25">
      <c r="A102" t="s">
        <v>248</v>
      </c>
      <c r="B102" t="s">
        <v>10</v>
      </c>
      <c r="C102" t="s">
        <v>11</v>
      </c>
      <c r="D102" s="2" t="s">
        <v>186</v>
      </c>
      <c r="E102" s="2">
        <v>2</v>
      </c>
      <c r="F102" s="7">
        <v>0</v>
      </c>
      <c r="K102" s="9"/>
    </row>
    <row r="103" spans="1:11" x14ac:dyDescent="0.25">
      <c r="A103" t="s">
        <v>249</v>
      </c>
      <c r="B103" t="s">
        <v>19</v>
      </c>
      <c r="C103" t="s">
        <v>21</v>
      </c>
      <c r="D103" s="2" t="s">
        <v>188</v>
      </c>
      <c r="E103" s="2">
        <v>3</v>
      </c>
      <c r="F103" s="7">
        <v>0</v>
      </c>
      <c r="K103" s="9"/>
    </row>
    <row r="104" spans="1:11" x14ac:dyDescent="0.25">
      <c r="A104" t="s">
        <v>250</v>
      </c>
      <c r="B104" t="s">
        <v>29</v>
      </c>
      <c r="C104" t="s">
        <v>30</v>
      </c>
      <c r="D104" s="2" t="s">
        <v>190</v>
      </c>
      <c r="E104" s="2">
        <v>4</v>
      </c>
      <c r="F104" s="7">
        <v>0</v>
      </c>
      <c r="K104" s="9"/>
    </row>
    <row r="105" spans="1:11" x14ac:dyDescent="0.25">
      <c r="A105" t="s">
        <v>251</v>
      </c>
      <c r="B105" t="s">
        <v>36</v>
      </c>
      <c r="C105" t="s">
        <v>24</v>
      </c>
      <c r="D105" s="2" t="s">
        <v>192</v>
      </c>
      <c r="E105" s="2">
        <v>5</v>
      </c>
      <c r="F105" s="7">
        <v>0</v>
      </c>
      <c r="K105" s="9"/>
    </row>
    <row r="106" spans="1:11" x14ac:dyDescent="0.25">
      <c r="A106" t="s">
        <v>252</v>
      </c>
      <c r="B106" t="s">
        <v>49</v>
      </c>
      <c r="C106" t="s">
        <v>47</v>
      </c>
      <c r="D106" s="2" t="s">
        <v>194</v>
      </c>
      <c r="E106" s="2">
        <v>1</v>
      </c>
      <c r="F106" s="7">
        <v>0.05</v>
      </c>
      <c r="K106" s="9"/>
    </row>
    <row r="107" spans="1:11" x14ac:dyDescent="0.25">
      <c r="A107" t="s">
        <v>253</v>
      </c>
      <c r="B107" t="s">
        <v>50</v>
      </c>
      <c r="C107" t="s">
        <v>58</v>
      </c>
      <c r="D107" s="2" t="s">
        <v>196</v>
      </c>
      <c r="E107" s="2">
        <v>2</v>
      </c>
      <c r="F107" s="7">
        <v>0</v>
      </c>
      <c r="K107" s="9"/>
    </row>
    <row r="108" spans="1:11" x14ac:dyDescent="0.25">
      <c r="A108" t="s">
        <v>254</v>
      </c>
      <c r="B108" t="s">
        <v>66</v>
      </c>
      <c r="C108" t="s">
        <v>17</v>
      </c>
      <c r="D108" s="2" t="s">
        <v>198</v>
      </c>
      <c r="E108" s="2">
        <v>3</v>
      </c>
      <c r="F108" s="7">
        <v>0</v>
      </c>
      <c r="K108" s="9"/>
    </row>
    <row r="109" spans="1:11" x14ac:dyDescent="0.25">
      <c r="A109" t="s">
        <v>255</v>
      </c>
      <c r="B109" t="s">
        <v>75</v>
      </c>
      <c r="C109" t="s">
        <v>40</v>
      </c>
      <c r="D109" s="2" t="s">
        <v>200</v>
      </c>
      <c r="E109" s="2">
        <v>4</v>
      </c>
      <c r="F109" s="7">
        <v>0</v>
      </c>
      <c r="K109" s="9"/>
    </row>
    <row r="110" spans="1:11" x14ac:dyDescent="0.25">
      <c r="A110" t="s">
        <v>256</v>
      </c>
      <c r="B110" t="s">
        <v>57</v>
      </c>
      <c r="C110" t="s">
        <v>62</v>
      </c>
      <c r="D110" s="2" t="s">
        <v>13</v>
      </c>
      <c r="E110" s="2">
        <v>5</v>
      </c>
      <c r="F110" s="7">
        <v>0</v>
      </c>
      <c r="K110" s="9"/>
    </row>
    <row r="111" spans="1:11" x14ac:dyDescent="0.25">
      <c r="A111" t="s">
        <v>257</v>
      </c>
      <c r="B111" t="s">
        <v>94</v>
      </c>
      <c r="C111" t="s">
        <v>12</v>
      </c>
      <c r="D111" s="2" t="s">
        <v>23</v>
      </c>
      <c r="E111" s="2">
        <v>1</v>
      </c>
      <c r="F111" s="7">
        <v>0.1</v>
      </c>
      <c r="K111" s="9"/>
    </row>
    <row r="112" spans="1:11" x14ac:dyDescent="0.25">
      <c r="A112" t="s">
        <v>258</v>
      </c>
      <c r="B112" t="s">
        <v>91</v>
      </c>
      <c r="C112" t="s">
        <v>11</v>
      </c>
      <c r="D112" s="2" t="s">
        <v>31</v>
      </c>
      <c r="E112" s="2">
        <v>2</v>
      </c>
      <c r="F112" s="7">
        <v>0</v>
      </c>
      <c r="K112" s="9"/>
    </row>
    <row r="113" spans="1:11" x14ac:dyDescent="0.25">
      <c r="A113" t="s">
        <v>259</v>
      </c>
      <c r="B113" t="s">
        <v>65</v>
      </c>
      <c r="C113" t="s">
        <v>21</v>
      </c>
      <c r="D113" s="2" t="s">
        <v>39</v>
      </c>
      <c r="E113" s="2">
        <v>3</v>
      </c>
      <c r="F113" s="7">
        <v>0.05</v>
      </c>
      <c r="K113" s="9"/>
    </row>
    <row r="114" spans="1:11" x14ac:dyDescent="0.25">
      <c r="A114" t="s">
        <v>260</v>
      </c>
      <c r="B114" t="s">
        <v>98</v>
      </c>
      <c r="C114" t="s">
        <v>30</v>
      </c>
      <c r="D114" s="2" t="s">
        <v>53</v>
      </c>
      <c r="E114" s="2">
        <v>4</v>
      </c>
      <c r="F114" s="7">
        <v>0</v>
      </c>
      <c r="K114" s="9"/>
    </row>
    <row r="115" spans="1:11" x14ac:dyDescent="0.25">
      <c r="A115" t="s">
        <v>261</v>
      </c>
      <c r="B115" t="s">
        <v>107</v>
      </c>
      <c r="C115" t="s">
        <v>24</v>
      </c>
      <c r="D115" s="2" t="s">
        <v>60</v>
      </c>
      <c r="E115" s="2">
        <v>5</v>
      </c>
      <c r="F115" s="7">
        <v>0</v>
      </c>
      <c r="K115" s="9"/>
    </row>
    <row r="116" spans="1:11" x14ac:dyDescent="0.25">
      <c r="A116" t="s">
        <v>262</v>
      </c>
      <c r="B116" t="s">
        <v>71</v>
      </c>
      <c r="C116" t="s">
        <v>47</v>
      </c>
      <c r="D116" s="2" t="s">
        <v>70</v>
      </c>
      <c r="E116" s="2">
        <v>1</v>
      </c>
      <c r="F116" s="7">
        <v>0</v>
      </c>
      <c r="K116" s="9"/>
    </row>
    <row r="117" spans="1:11" x14ac:dyDescent="0.25">
      <c r="A117" t="s">
        <v>263</v>
      </c>
      <c r="B117" t="s">
        <v>103</v>
      </c>
      <c r="C117" t="s">
        <v>58</v>
      </c>
      <c r="D117" s="2" t="s">
        <v>78</v>
      </c>
      <c r="E117" s="2">
        <v>2</v>
      </c>
      <c r="F117" s="7">
        <v>0</v>
      </c>
      <c r="K117" s="9"/>
    </row>
    <row r="118" spans="1:11" x14ac:dyDescent="0.25">
      <c r="A118" t="s">
        <v>264</v>
      </c>
      <c r="B118" t="s">
        <v>121</v>
      </c>
      <c r="C118" t="s">
        <v>17</v>
      </c>
      <c r="D118" s="2" t="s">
        <v>83</v>
      </c>
      <c r="E118" s="2">
        <v>3</v>
      </c>
      <c r="F118" s="7">
        <v>0</v>
      </c>
      <c r="K118" s="9"/>
    </row>
    <row r="119" spans="1:11" x14ac:dyDescent="0.25">
      <c r="A119" t="s">
        <v>265</v>
      </c>
      <c r="B119" t="s">
        <v>79</v>
      </c>
      <c r="C119" t="s">
        <v>40</v>
      </c>
      <c r="D119" s="2" t="s">
        <v>88</v>
      </c>
      <c r="E119" s="2">
        <v>4</v>
      </c>
      <c r="F119" s="7">
        <v>0</v>
      </c>
      <c r="K119" s="9"/>
    </row>
    <row r="120" spans="1:11" x14ac:dyDescent="0.25">
      <c r="A120" t="s">
        <v>266</v>
      </c>
      <c r="B120" t="s">
        <v>109</v>
      </c>
      <c r="C120" t="s">
        <v>62</v>
      </c>
      <c r="D120" s="2" t="s">
        <v>92</v>
      </c>
      <c r="E120" s="2">
        <v>5</v>
      </c>
      <c r="F120" s="7">
        <v>0.05</v>
      </c>
      <c r="K120" s="9"/>
    </row>
    <row r="121" spans="1:11" x14ac:dyDescent="0.25">
      <c r="A121" t="s">
        <v>267</v>
      </c>
      <c r="B121" t="s">
        <v>32</v>
      </c>
      <c r="C121" t="s">
        <v>12</v>
      </c>
      <c r="D121" s="2" t="s">
        <v>96</v>
      </c>
      <c r="E121" s="2">
        <v>-2</v>
      </c>
      <c r="F121" s="7">
        <v>0</v>
      </c>
      <c r="K121" s="9"/>
    </row>
    <row r="122" spans="1:11" x14ac:dyDescent="0.25">
      <c r="A122" t="s">
        <v>268</v>
      </c>
      <c r="B122" t="s">
        <v>10</v>
      </c>
      <c r="C122" t="s">
        <v>11</v>
      </c>
      <c r="D122" s="2" t="s">
        <v>102</v>
      </c>
      <c r="E122" s="2">
        <v>2</v>
      </c>
      <c r="F122" s="7">
        <v>0.1</v>
      </c>
      <c r="K122" s="9"/>
    </row>
    <row r="123" spans="1:11" x14ac:dyDescent="0.25">
      <c r="A123" t="s">
        <v>269</v>
      </c>
      <c r="B123" t="s">
        <v>19</v>
      </c>
      <c r="C123" t="s">
        <v>21</v>
      </c>
      <c r="D123" s="2" t="s">
        <v>108</v>
      </c>
      <c r="E123" s="2">
        <v>3</v>
      </c>
      <c r="F123" s="7">
        <v>0</v>
      </c>
      <c r="K123" s="9"/>
    </row>
    <row r="124" spans="1:11" x14ac:dyDescent="0.25">
      <c r="A124" t="s">
        <v>270</v>
      </c>
      <c r="B124" t="s">
        <v>29</v>
      </c>
      <c r="C124" t="s">
        <v>30</v>
      </c>
      <c r="D124" s="2" t="s">
        <v>114</v>
      </c>
      <c r="E124" s="2">
        <v>4</v>
      </c>
      <c r="F124" s="7">
        <v>0</v>
      </c>
      <c r="K124" s="9"/>
    </row>
    <row r="125" spans="1:11" x14ac:dyDescent="0.25">
      <c r="A125" t="s">
        <v>271</v>
      </c>
      <c r="B125" t="s">
        <v>36</v>
      </c>
      <c r="C125" t="s">
        <v>24</v>
      </c>
      <c r="D125" s="2" t="s">
        <v>118</v>
      </c>
      <c r="E125" s="2">
        <v>5</v>
      </c>
      <c r="F125" s="7">
        <v>0</v>
      </c>
      <c r="K125" s="9"/>
    </row>
    <row r="126" spans="1:11" x14ac:dyDescent="0.25">
      <c r="A126" t="s">
        <v>272</v>
      </c>
      <c r="B126" t="s">
        <v>49</v>
      </c>
      <c r="C126" t="s">
        <v>47</v>
      </c>
      <c r="D126" s="2" t="s">
        <v>122</v>
      </c>
      <c r="E126" s="2">
        <v>1</v>
      </c>
      <c r="F126" s="7">
        <v>0</v>
      </c>
      <c r="K126" s="9"/>
    </row>
    <row r="127" spans="1:11" x14ac:dyDescent="0.25">
      <c r="A127" t="s">
        <v>273</v>
      </c>
      <c r="B127" t="s">
        <v>50</v>
      </c>
      <c r="C127" t="s">
        <v>58</v>
      </c>
      <c r="D127" s="2" t="s">
        <v>125</v>
      </c>
      <c r="E127" s="2">
        <v>2</v>
      </c>
      <c r="F127" s="7">
        <v>0.05</v>
      </c>
      <c r="K127" s="9"/>
    </row>
    <row r="128" spans="1:11" x14ac:dyDescent="0.25">
      <c r="A128" t="s">
        <v>274</v>
      </c>
      <c r="B128" t="s">
        <v>66</v>
      </c>
      <c r="C128" t="s">
        <v>17</v>
      </c>
      <c r="D128" s="2" t="s">
        <v>128</v>
      </c>
      <c r="E128" s="2">
        <v>3</v>
      </c>
      <c r="F128" s="7">
        <v>0</v>
      </c>
      <c r="K128" s="9"/>
    </row>
    <row r="129" spans="1:11" x14ac:dyDescent="0.25">
      <c r="A129" t="s">
        <v>275</v>
      </c>
      <c r="B129" t="s">
        <v>75</v>
      </c>
      <c r="C129" t="s">
        <v>40</v>
      </c>
      <c r="D129" s="2" t="s">
        <v>131</v>
      </c>
      <c r="E129" s="2">
        <v>4</v>
      </c>
      <c r="F129" s="7">
        <v>0</v>
      </c>
      <c r="K129" s="9"/>
    </row>
    <row r="130" spans="1:11" x14ac:dyDescent="0.25">
      <c r="A130" t="s">
        <v>276</v>
      </c>
      <c r="B130" t="s">
        <v>57</v>
      </c>
      <c r="C130" t="s">
        <v>62</v>
      </c>
      <c r="D130" s="2" t="s">
        <v>133</v>
      </c>
      <c r="E130" s="2">
        <v>5</v>
      </c>
      <c r="F130" s="7">
        <v>0</v>
      </c>
      <c r="K130" s="9"/>
    </row>
    <row r="131" spans="1:11" x14ac:dyDescent="0.25">
      <c r="A131" t="s">
        <v>277</v>
      </c>
      <c r="B131" t="s">
        <v>94</v>
      </c>
      <c r="C131" t="s">
        <v>12</v>
      </c>
      <c r="D131" s="2" t="s">
        <v>135</v>
      </c>
      <c r="E131" s="2">
        <v>1</v>
      </c>
      <c r="F131" s="7">
        <v>0</v>
      </c>
      <c r="K131" s="9"/>
    </row>
    <row r="132" spans="1:11" x14ac:dyDescent="0.25">
      <c r="A132" t="s">
        <v>278</v>
      </c>
      <c r="B132" t="s">
        <v>91</v>
      </c>
      <c r="C132" t="s">
        <v>11</v>
      </c>
      <c r="D132" s="2" t="s">
        <v>137</v>
      </c>
      <c r="E132" s="2">
        <v>2</v>
      </c>
      <c r="F132" s="7">
        <v>0</v>
      </c>
      <c r="K132" s="9"/>
    </row>
    <row r="133" spans="1:11" x14ac:dyDescent="0.25">
      <c r="A133" t="s">
        <v>279</v>
      </c>
      <c r="B133" t="s">
        <v>65</v>
      </c>
      <c r="C133" t="s">
        <v>21</v>
      </c>
      <c r="D133" s="2" t="s">
        <v>139</v>
      </c>
      <c r="E133" s="2">
        <v>3</v>
      </c>
      <c r="F133" s="7">
        <v>0.1</v>
      </c>
      <c r="K133" s="9"/>
    </row>
    <row r="134" spans="1:11" x14ac:dyDescent="0.25">
      <c r="A134" t="s">
        <v>280</v>
      </c>
      <c r="B134" t="s">
        <v>98</v>
      </c>
      <c r="C134" t="s">
        <v>30</v>
      </c>
      <c r="D134" s="2" t="s">
        <v>141</v>
      </c>
      <c r="E134" s="2">
        <v>4</v>
      </c>
      <c r="F134" s="7">
        <v>0.05</v>
      </c>
      <c r="K134" s="9"/>
    </row>
    <row r="135" spans="1:11" x14ac:dyDescent="0.25">
      <c r="A135" t="s">
        <v>281</v>
      </c>
      <c r="B135" t="s">
        <v>107</v>
      </c>
      <c r="C135" t="s">
        <v>24</v>
      </c>
      <c r="D135" s="2" t="s">
        <v>143</v>
      </c>
      <c r="E135" s="2">
        <v>5</v>
      </c>
      <c r="F135" s="7">
        <v>0</v>
      </c>
      <c r="K135" s="9"/>
    </row>
    <row r="136" spans="1:11" x14ac:dyDescent="0.25">
      <c r="A136" t="s">
        <v>282</v>
      </c>
      <c r="B136" t="s">
        <v>71</v>
      </c>
      <c r="C136" t="s">
        <v>47</v>
      </c>
      <c r="D136" s="2" t="s">
        <v>145</v>
      </c>
      <c r="E136" s="2">
        <v>1</v>
      </c>
      <c r="F136" s="7">
        <v>0</v>
      </c>
      <c r="K136" s="9"/>
    </row>
    <row r="137" spans="1:11" x14ac:dyDescent="0.25">
      <c r="A137" t="s">
        <v>283</v>
      </c>
      <c r="B137" t="s">
        <v>103</v>
      </c>
      <c r="C137" t="s">
        <v>58</v>
      </c>
      <c r="D137" s="2" t="s">
        <v>147</v>
      </c>
      <c r="E137" s="2">
        <v>2</v>
      </c>
      <c r="F137" s="7">
        <v>0</v>
      </c>
      <c r="K137" s="9"/>
    </row>
    <row r="138" spans="1:11" x14ac:dyDescent="0.25">
      <c r="A138" t="s">
        <v>284</v>
      </c>
      <c r="B138" t="s">
        <v>121</v>
      </c>
      <c r="C138" t="s">
        <v>17</v>
      </c>
      <c r="D138" s="2" t="s">
        <v>149</v>
      </c>
      <c r="E138" s="2">
        <v>3</v>
      </c>
      <c r="F138" s="7">
        <v>0</v>
      </c>
      <c r="K138" s="9"/>
    </row>
    <row r="139" spans="1:11" x14ac:dyDescent="0.25">
      <c r="A139" t="s">
        <v>285</v>
      </c>
      <c r="B139" t="s">
        <v>79</v>
      </c>
      <c r="C139" t="s">
        <v>40</v>
      </c>
      <c r="D139" s="2" t="s">
        <v>151</v>
      </c>
      <c r="E139" s="2">
        <v>4</v>
      </c>
      <c r="F139" s="7">
        <v>0</v>
      </c>
      <c r="K139" s="9"/>
    </row>
    <row r="140" spans="1:11" x14ac:dyDescent="0.25">
      <c r="A140" t="s">
        <v>286</v>
      </c>
      <c r="B140" t="s">
        <v>109</v>
      </c>
      <c r="C140" t="s">
        <v>62</v>
      </c>
      <c r="D140" s="2" t="s">
        <v>153</v>
      </c>
      <c r="E140" s="2">
        <v>5</v>
      </c>
      <c r="F140" s="7">
        <v>0</v>
      </c>
      <c r="K140" s="9"/>
    </row>
    <row r="141" spans="1:11" x14ac:dyDescent="0.25">
      <c r="A141" t="s">
        <v>287</v>
      </c>
      <c r="B141" t="s">
        <v>32</v>
      </c>
      <c r="C141" t="s">
        <v>12</v>
      </c>
      <c r="D141" s="2" t="s">
        <v>155</v>
      </c>
      <c r="E141" s="2">
        <v>1</v>
      </c>
      <c r="F141" s="7">
        <v>0.25</v>
      </c>
      <c r="K141" s="9"/>
    </row>
    <row r="142" spans="1:11" x14ac:dyDescent="0.25">
      <c r="A142" t="s">
        <v>288</v>
      </c>
      <c r="B142" t="s">
        <v>10</v>
      </c>
      <c r="C142" t="s">
        <v>11</v>
      </c>
      <c r="D142" s="2" t="s">
        <v>157</v>
      </c>
      <c r="E142" s="2">
        <v>2</v>
      </c>
      <c r="F142" s="7">
        <v>0</v>
      </c>
      <c r="K142" s="9"/>
    </row>
    <row r="143" spans="1:11" x14ac:dyDescent="0.25">
      <c r="A143" t="s">
        <v>289</v>
      </c>
      <c r="B143" t="s">
        <v>19</v>
      </c>
      <c r="C143" t="s">
        <v>21</v>
      </c>
      <c r="D143" s="2" t="s">
        <v>159</v>
      </c>
      <c r="E143" s="2">
        <v>3</v>
      </c>
      <c r="F143" s="7">
        <v>0</v>
      </c>
      <c r="K143" s="9"/>
    </row>
    <row r="144" spans="1:11" x14ac:dyDescent="0.25">
      <c r="A144" t="s">
        <v>290</v>
      </c>
      <c r="B144" t="s">
        <v>29</v>
      </c>
      <c r="C144" t="s">
        <v>30</v>
      </c>
      <c r="D144" s="2" t="s">
        <v>161</v>
      </c>
      <c r="E144" s="2">
        <v>4</v>
      </c>
      <c r="F144" s="7">
        <v>0.1</v>
      </c>
      <c r="K144" s="9"/>
    </row>
    <row r="145" spans="1:11" x14ac:dyDescent="0.25">
      <c r="A145" t="s">
        <v>291</v>
      </c>
      <c r="B145" t="s">
        <v>36</v>
      </c>
      <c r="C145" t="s">
        <v>24</v>
      </c>
      <c r="D145" s="2" t="s">
        <v>163</v>
      </c>
      <c r="E145" s="2">
        <v>5</v>
      </c>
      <c r="F145" s="7">
        <v>0</v>
      </c>
      <c r="K145" s="9"/>
    </row>
    <row r="146" spans="1:11" x14ac:dyDescent="0.25">
      <c r="A146" t="s">
        <v>292</v>
      </c>
      <c r="B146" t="s">
        <v>49</v>
      </c>
      <c r="C146" t="s">
        <v>47</v>
      </c>
      <c r="D146" s="2" t="s">
        <v>165</v>
      </c>
      <c r="E146" s="2">
        <v>1</v>
      </c>
      <c r="F146" s="7">
        <v>0</v>
      </c>
      <c r="K146" s="9"/>
    </row>
    <row r="147" spans="1:11" x14ac:dyDescent="0.25">
      <c r="A147" t="s">
        <v>293</v>
      </c>
      <c r="B147" t="s">
        <v>50</v>
      </c>
      <c r="C147" t="s">
        <v>58</v>
      </c>
      <c r="D147" s="2" t="s">
        <v>167</v>
      </c>
      <c r="E147" s="2">
        <v>2</v>
      </c>
      <c r="F147" s="7">
        <v>0</v>
      </c>
      <c r="K147" s="9"/>
    </row>
    <row r="148" spans="1:11" x14ac:dyDescent="0.25">
      <c r="A148" t="s">
        <v>294</v>
      </c>
      <c r="B148" t="s">
        <v>66</v>
      </c>
      <c r="C148" t="s">
        <v>17</v>
      </c>
      <c r="D148" s="2" t="s">
        <v>169</v>
      </c>
      <c r="E148" s="2">
        <v>3</v>
      </c>
      <c r="F148" s="7">
        <v>0.05</v>
      </c>
      <c r="K148" s="9"/>
    </row>
    <row r="149" spans="1:11" x14ac:dyDescent="0.25">
      <c r="A149" t="s">
        <v>295</v>
      </c>
      <c r="B149" t="s">
        <v>75</v>
      </c>
      <c r="C149" t="s">
        <v>40</v>
      </c>
      <c r="D149" s="2" t="s">
        <v>172</v>
      </c>
      <c r="E149" s="2">
        <v>4</v>
      </c>
      <c r="F149" s="7">
        <v>0</v>
      </c>
      <c r="K149" s="9"/>
    </row>
    <row r="150" spans="1:11" x14ac:dyDescent="0.25">
      <c r="A150" t="s">
        <v>296</v>
      </c>
      <c r="B150" t="s">
        <v>57</v>
      </c>
      <c r="C150" t="s">
        <v>62</v>
      </c>
      <c r="D150" s="2" t="s">
        <v>174</v>
      </c>
      <c r="E150" s="2">
        <v>5</v>
      </c>
      <c r="F150" s="7">
        <v>0</v>
      </c>
      <c r="K150" s="9"/>
    </row>
    <row r="151" spans="1:11" x14ac:dyDescent="0.25">
      <c r="A151" t="s">
        <v>297</v>
      </c>
      <c r="B151" t="s">
        <v>94</v>
      </c>
      <c r="C151" t="s">
        <v>12</v>
      </c>
      <c r="D151" s="2" t="s">
        <v>176</v>
      </c>
      <c r="E151" s="2">
        <v>1</v>
      </c>
      <c r="F151" s="7">
        <v>0</v>
      </c>
      <c r="K151" s="9"/>
    </row>
    <row r="152" spans="1:11" x14ac:dyDescent="0.25">
      <c r="K152" s="9"/>
    </row>
  </sheetData>
  <autoFilter ref="A1:F151" xr:uid="{D3C6CFE9-528A-4423-9726-E5321D43426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A04D-EE79-4D26-9163-8490EDCD46A5}">
  <dimension ref="A1:M152"/>
  <sheetViews>
    <sheetView topLeftCell="C1" workbookViewId="0">
      <selection activeCell="I1" sqref="I1:I1048576"/>
    </sheetView>
  </sheetViews>
  <sheetFormatPr defaultRowHeight="15" x14ac:dyDescent="0.25"/>
  <cols>
    <col min="1" max="1" width="17.85546875" customWidth="1"/>
    <col min="2" max="2" width="13" customWidth="1"/>
    <col min="3" max="3" width="16" customWidth="1"/>
    <col min="4" max="4" width="14.28515625" customWidth="1"/>
    <col min="5" max="5" width="16.7109375" customWidth="1"/>
    <col min="6" max="6" width="14.5703125" customWidth="1"/>
    <col min="7" max="7" width="19.140625" style="17" customWidth="1"/>
    <col min="8" max="8" width="13.5703125" customWidth="1"/>
    <col min="9" max="9" width="12.5703125" style="8" customWidth="1"/>
    <col min="10" max="10" width="17" customWidth="1"/>
    <col min="11" max="11" width="19.140625" customWidth="1"/>
    <col min="12" max="12" width="13.28515625" style="10" customWidth="1"/>
    <col min="13" max="13" width="13.7109375" customWidth="1"/>
  </cols>
  <sheetData>
    <row r="1" spans="1:13" x14ac:dyDescent="0.25">
      <c r="A1" s="11" t="s">
        <v>298</v>
      </c>
      <c r="B1" s="11" t="s">
        <v>22</v>
      </c>
      <c r="C1" s="11" t="s">
        <v>299</v>
      </c>
      <c r="D1" s="1" t="s">
        <v>0</v>
      </c>
      <c r="E1" s="1" t="s">
        <v>2</v>
      </c>
      <c r="F1" s="1" t="s">
        <v>1</v>
      </c>
      <c r="G1" s="18" t="s">
        <v>3</v>
      </c>
      <c r="H1" s="1" t="s">
        <v>4</v>
      </c>
      <c r="I1" s="6" t="s">
        <v>5</v>
      </c>
      <c r="J1" s="12" t="s">
        <v>300</v>
      </c>
      <c r="K1" s="12" t="s">
        <v>8</v>
      </c>
      <c r="L1" s="13" t="s">
        <v>301</v>
      </c>
      <c r="M1" s="14" t="s">
        <v>302</v>
      </c>
    </row>
    <row r="2" spans="1:13" x14ac:dyDescent="0.25">
      <c r="A2" t="str">
        <f>_xlfn.XLOOKUP(E2,'CUSTOMERS A'!A:A,'CUSTOMERS A'!B:B,"Not Found")</f>
        <v>Emeka Nwosu</v>
      </c>
      <c r="B2" t="str">
        <f>_xlfn.XLOOKUP(A2,'CUSTOMERS A'!B:B,'CUSTOMERS A'!C:C,"Not Found")</f>
        <v>Enugu</v>
      </c>
      <c r="C2" t="str">
        <f>_xlfn.XLOOKUP(A2,'CUSTOMERS A'!B:B,'CUSTOMERS A'!D:D,"Not Found")</f>
        <v>Corporate</v>
      </c>
      <c r="D2" t="s">
        <v>7</v>
      </c>
      <c r="E2" t="s">
        <v>10</v>
      </c>
      <c r="F2" t="s">
        <v>11</v>
      </c>
      <c r="G2" s="19">
        <v>46055</v>
      </c>
      <c r="H2" s="2">
        <v>2</v>
      </c>
      <c r="I2" s="7">
        <v>0</v>
      </c>
      <c r="J2" t="str">
        <f>_xlfn.XLOOKUP(F2,'PRODUCTS A'!A:A,'PRODUCTS A'!B:B,"Not Found")</f>
        <v>Mouse</v>
      </c>
      <c r="K2" t="str">
        <f>_xlfn.XLOOKUP(J2,'PRODUCTS A'!B:B,'PRODUCTS A'!C:C,"Not Found")</f>
        <v>Accessories</v>
      </c>
      <c r="L2" s="9">
        <f>_xlfn.XLOOKUP(J2,'PRODUCTS A'!B:B,'PRODUCTS A'!D:D,"Not Found")</f>
        <v>8000</v>
      </c>
      <c r="M2" s="10">
        <f>L2*H2*(1-I2)</f>
        <v>16000</v>
      </c>
    </row>
    <row r="3" spans="1:13" x14ac:dyDescent="0.25">
      <c r="A3" t="str">
        <f>_xlfn.XLOOKUP(E3,'CUSTOMERS A'!A:A,'CUSTOMERS A'!B:B,"Not Found")</f>
        <v>Ruth Daniel</v>
      </c>
      <c r="B3" t="str">
        <f>_xlfn.XLOOKUP(A3,'CUSTOMERS A'!B:B,'CUSTOMERS A'!C:C,"Not Found")</f>
        <v>Lagos</v>
      </c>
      <c r="C3" t="str">
        <f>_xlfn.XLOOKUP(A3,'CUSTOMERS A'!B:B,'CUSTOMERS A'!D:D,"Not Found")</f>
        <v>Corporate</v>
      </c>
      <c r="D3" t="s">
        <v>16</v>
      </c>
      <c r="E3" t="s">
        <v>19</v>
      </c>
      <c r="F3" t="s">
        <v>21</v>
      </c>
      <c r="G3" s="19">
        <v>46084</v>
      </c>
      <c r="H3" s="2">
        <v>3</v>
      </c>
      <c r="I3" s="7">
        <v>0</v>
      </c>
      <c r="J3" t="str">
        <f>_xlfn.XLOOKUP(F3,'PRODUCTS A'!A:A,'PRODUCTS A'!B:B,"Not Found")</f>
        <v>Desk</v>
      </c>
      <c r="K3" t="str">
        <f>_xlfn.XLOOKUP(J3,'PRODUCTS A'!B:B,'PRODUCTS A'!C:C,"Not Found")</f>
        <v>Furniture</v>
      </c>
      <c r="L3" s="9">
        <f>_xlfn.XLOOKUP(J3,'PRODUCTS A'!B:B,'PRODUCTS A'!D:D,"Not Found")</f>
        <v>140000</v>
      </c>
      <c r="M3" s="10">
        <f t="shared" ref="M3:M40" si="0">L3*H3*(1-I3)</f>
        <v>420000</v>
      </c>
    </row>
    <row r="4" spans="1:13" x14ac:dyDescent="0.25">
      <c r="A4" t="str">
        <f>_xlfn.XLOOKUP(E4,'CUSTOMERS A'!A:A,'CUSTOMERS A'!B:B,"Not Found")</f>
        <v>Daniel Okafor</v>
      </c>
      <c r="B4" t="str">
        <f>_xlfn.XLOOKUP(A4,'CUSTOMERS A'!B:B,'CUSTOMERS A'!C:C,"Not Found")</f>
        <v>Abuja</v>
      </c>
      <c r="C4" t="str">
        <f>_xlfn.XLOOKUP(A4,'CUSTOMERS A'!B:B,'CUSTOMERS A'!D:D,"Not Found")</f>
        <v>Corporate</v>
      </c>
      <c r="D4" t="s">
        <v>27</v>
      </c>
      <c r="E4" t="s">
        <v>29</v>
      </c>
      <c r="F4" t="s">
        <v>30</v>
      </c>
      <c r="G4" s="19">
        <v>46116</v>
      </c>
      <c r="H4" s="2">
        <v>4</v>
      </c>
      <c r="I4" s="7">
        <v>0</v>
      </c>
      <c r="J4" t="str">
        <f>_xlfn.XLOOKUP(F4,'PRODUCTS A'!A:A,'PRODUCTS A'!B:B,"Not Found")</f>
        <v>External Drive</v>
      </c>
      <c r="K4" t="str">
        <f>_xlfn.XLOOKUP(J4,'PRODUCTS A'!B:B,'PRODUCTS A'!C:C,"Not Found")</f>
        <v>Electronics</v>
      </c>
      <c r="L4" s="9">
        <f>_xlfn.XLOOKUP(J4,'PRODUCTS A'!B:B,'PRODUCTS A'!D:D,"Not Found")</f>
        <v>75000</v>
      </c>
      <c r="M4" s="10">
        <f t="shared" si="0"/>
        <v>300000</v>
      </c>
    </row>
    <row r="5" spans="1:13" x14ac:dyDescent="0.25">
      <c r="A5" t="str">
        <f>_xlfn.XLOOKUP(E5,'CUSTOMERS A'!A:A,'CUSTOMERS A'!B:B,"Not Found")</f>
        <v>Blessing Ojo</v>
      </c>
      <c r="B5" t="str">
        <f>_xlfn.XLOOKUP(A5,'CUSTOMERS A'!B:B,'CUSTOMERS A'!C:C,"Not Found")</f>
        <v>Lagos</v>
      </c>
      <c r="C5" t="str">
        <f>_xlfn.XLOOKUP(A5,'CUSTOMERS A'!B:B,'CUSTOMERS A'!D:D,"Not Found")</f>
        <v>Wholesale</v>
      </c>
      <c r="D5" t="s">
        <v>34</v>
      </c>
      <c r="E5" t="s">
        <v>36</v>
      </c>
      <c r="F5" t="s">
        <v>24</v>
      </c>
      <c r="G5" s="19">
        <v>46147</v>
      </c>
      <c r="H5" s="2">
        <v>5</v>
      </c>
      <c r="I5" s="7">
        <v>0</v>
      </c>
      <c r="J5" t="str">
        <f>_xlfn.XLOOKUP(F5,'PRODUCTS A'!A:A,'PRODUCTS A'!B:B,"Not Found")</f>
        <v>Keyboard</v>
      </c>
      <c r="K5" t="str">
        <f>_xlfn.XLOOKUP(J5,'PRODUCTS A'!B:B,'PRODUCTS A'!C:C,"Not Found")</f>
        <v>Accessories</v>
      </c>
      <c r="L5" s="9">
        <f>_xlfn.XLOOKUP(J5,'PRODUCTS A'!B:B,'PRODUCTS A'!D:D,"Not Found")</f>
        <v>15000</v>
      </c>
      <c r="M5" s="10">
        <f t="shared" si="0"/>
        <v>75000</v>
      </c>
    </row>
    <row r="6" spans="1:13" x14ac:dyDescent="0.25">
      <c r="A6" t="str">
        <f>_xlfn.XLOOKUP(E6,'CUSTOMERS A'!A:A,'CUSTOMERS A'!B:B,"Not Found")</f>
        <v>Peter Williams</v>
      </c>
      <c r="B6" t="str">
        <f>_xlfn.XLOOKUP(A6,'CUSTOMERS A'!B:B,'CUSTOMERS A'!C:C,"Not Found")</f>
        <v>Abeokuta</v>
      </c>
      <c r="C6" t="str">
        <f>_xlfn.XLOOKUP(A6,'CUSTOMERS A'!B:B,'CUSTOMERS A'!D:D,"Not Found")</f>
        <v>Retail</v>
      </c>
      <c r="D6" t="s">
        <v>43</v>
      </c>
      <c r="E6" t="s">
        <v>49</v>
      </c>
      <c r="F6" t="s">
        <v>47</v>
      </c>
      <c r="G6" s="19">
        <v>46179</v>
      </c>
      <c r="H6" s="2">
        <v>1</v>
      </c>
      <c r="I6" s="7">
        <v>0</v>
      </c>
      <c r="J6" t="str">
        <f>_xlfn.XLOOKUP(F6,'PRODUCTS A'!A:A,'PRODUCTS A'!B:B,"Not Found")</f>
        <v>Office Chair</v>
      </c>
      <c r="K6" t="str">
        <f>_xlfn.XLOOKUP(J6,'PRODUCTS A'!B:B,'PRODUCTS A'!C:C,"Not Found")</f>
        <v>Furniture</v>
      </c>
      <c r="L6" s="9">
        <f>_xlfn.XLOOKUP(J6,'PRODUCTS A'!B:B,'PRODUCTS A'!D:D,"Not Found")</f>
        <v>95000</v>
      </c>
      <c r="M6" s="10">
        <f t="shared" si="0"/>
        <v>95000</v>
      </c>
    </row>
    <row r="7" spans="1:13" x14ac:dyDescent="0.25">
      <c r="A7" t="str">
        <f>_xlfn.XLOOKUP(E7,'CUSTOMERS A'!A:A,'CUSTOMERS A'!B:B,"Not Found")</f>
        <v>Mariam Yusuf</v>
      </c>
      <c r="B7" t="str">
        <f>_xlfn.XLOOKUP(A7,'CUSTOMERS A'!B:B,'CUSTOMERS A'!C:C,"Not Found")</f>
        <v>Kano</v>
      </c>
      <c r="C7" t="str">
        <f>_xlfn.XLOOKUP(A7,'CUSTOMERS A'!B:B,'CUSTOMERS A'!D:D,"Not Found")</f>
        <v>Retail</v>
      </c>
      <c r="D7" t="s">
        <v>55</v>
      </c>
      <c r="E7" t="s">
        <v>50</v>
      </c>
      <c r="F7" s="11" t="s">
        <v>58</v>
      </c>
      <c r="G7" s="19">
        <v>46029</v>
      </c>
      <c r="H7" s="2">
        <v>2</v>
      </c>
      <c r="I7" s="7">
        <v>0</v>
      </c>
      <c r="J7" t="str">
        <f>_xlfn.XLOOKUP(F7,'PRODUCTS A'!A:A,'PRODUCTS A'!B:B,"Not Found")</f>
        <v>Tablet</v>
      </c>
      <c r="K7" t="str">
        <f>_xlfn.XLOOKUP(J7,'PRODUCTS A'!B:B,'PRODUCTS A'!C:C,"Not Found")</f>
        <v>Electronics</v>
      </c>
      <c r="L7" s="9">
        <f>_xlfn.XLOOKUP(J7,'PRODUCTS A'!B:B,'PRODUCTS A'!D:D,"Not Found")</f>
        <v>220000</v>
      </c>
      <c r="M7" s="10">
        <f t="shared" si="0"/>
        <v>440000</v>
      </c>
    </row>
    <row r="8" spans="1:13" x14ac:dyDescent="0.25">
      <c r="A8" t="str">
        <f>_xlfn.XLOOKUP(E8,'CUSTOMERS A'!A:A,'CUSTOMERS A'!B:B,"Not Found")</f>
        <v>Ibrahim Sani</v>
      </c>
      <c r="B8" t="str">
        <f>_xlfn.XLOOKUP(A8,'CUSTOMERS A'!B:B,'CUSTOMERS A'!C:C,"Not Found")</f>
        <v>Abuja</v>
      </c>
      <c r="C8" t="str">
        <f>_xlfn.XLOOKUP(A8,'CUSTOMERS A'!B:B,'CUSTOMERS A'!D:D,"Not Found")</f>
        <v>Retail</v>
      </c>
      <c r="D8" t="s">
        <v>64</v>
      </c>
      <c r="E8" t="s">
        <v>66</v>
      </c>
      <c r="F8" t="s">
        <v>17</v>
      </c>
      <c r="G8" s="19">
        <v>46061</v>
      </c>
      <c r="H8" s="2">
        <v>3</v>
      </c>
      <c r="I8" s="7">
        <v>0.05</v>
      </c>
      <c r="J8" t="str">
        <f>_xlfn.XLOOKUP(F8,'PRODUCTS A'!A:A,'PRODUCTS A'!B:B,"Not Found")</f>
        <v>Monitor</v>
      </c>
      <c r="K8" t="str">
        <f>_xlfn.XLOOKUP(J8,'PRODUCTS A'!B:B,'PRODUCTS A'!C:C,"Not Found")</f>
        <v>Electronics</v>
      </c>
      <c r="L8" s="9">
        <f>_xlfn.XLOOKUP(J8,'PRODUCTS A'!B:B,'PRODUCTS A'!D:D,"Not Found")</f>
        <v>180000</v>
      </c>
      <c r="M8" s="10">
        <f t="shared" si="0"/>
        <v>513000</v>
      </c>
    </row>
    <row r="9" spans="1:13" x14ac:dyDescent="0.25">
      <c r="A9" t="str">
        <f>_xlfn.XLOOKUP(E9,'CUSTOMERS A'!A:A,'CUSTOMERS A'!B:B,"Not Found")</f>
        <v>Hauwa Ali</v>
      </c>
      <c r="B9" t="str">
        <f>_xlfn.XLOOKUP(A9,'CUSTOMERS A'!B:B,'CUSTOMERS A'!C:C,"Not Found")</f>
        <v>Kano</v>
      </c>
      <c r="C9" t="str">
        <f>_xlfn.XLOOKUP(A9,'CUSTOMERS A'!B:B,'CUSTOMERS A'!D:D,"Not Found")</f>
        <v>Corporate</v>
      </c>
      <c r="D9" t="s">
        <v>72</v>
      </c>
      <c r="E9" t="s">
        <v>75</v>
      </c>
      <c r="F9" t="s">
        <v>40</v>
      </c>
      <c r="G9" s="19">
        <v>46090</v>
      </c>
      <c r="H9" s="2">
        <v>4</v>
      </c>
      <c r="I9" s="7">
        <v>0</v>
      </c>
      <c r="J9" t="str">
        <f>_xlfn.XLOOKUP(F9,'PRODUCTS A'!A:A,'PRODUCTS A'!B:B,"Not Found")</f>
        <v>Printer</v>
      </c>
      <c r="K9" t="str">
        <f>_xlfn.XLOOKUP(J9,'PRODUCTS A'!B:B,'PRODUCTS A'!C:C,"Not Found")</f>
        <v>Office Equipment</v>
      </c>
      <c r="L9" s="9">
        <f>_xlfn.XLOOKUP(J9,'PRODUCTS A'!B:B,'PRODUCTS A'!D:D,"Not Found")</f>
        <v>120000</v>
      </c>
      <c r="M9" s="10">
        <f t="shared" si="0"/>
        <v>480000</v>
      </c>
    </row>
    <row r="10" spans="1:13" x14ac:dyDescent="0.25">
      <c r="A10" t="str">
        <f>_xlfn.XLOOKUP(E10,'CUSTOMERS A'!A:A,'CUSTOMERS A'!B:B,"Not Found")</f>
        <v>Chinedu Obi</v>
      </c>
      <c r="B10" t="str">
        <f>_xlfn.XLOOKUP(A10,'CUSTOMERS A'!B:B,'CUSTOMERS A'!C:C,"Not Found")</f>
        <v>Port Harcourt</v>
      </c>
      <c r="C10" t="str">
        <f>_xlfn.XLOOKUP(A10,'CUSTOMERS A'!B:B,'CUSTOMERS A'!D:D,"Not Found")</f>
        <v>Corporate</v>
      </c>
      <c r="D10" t="s">
        <v>82</v>
      </c>
      <c r="E10" t="s">
        <v>57</v>
      </c>
      <c r="F10" t="s">
        <v>62</v>
      </c>
      <c r="G10" s="19">
        <v>46122</v>
      </c>
      <c r="H10" s="2">
        <v>5</v>
      </c>
      <c r="I10" s="7">
        <v>0</v>
      </c>
      <c r="J10" t="str">
        <f>_xlfn.XLOOKUP(F10,'PRODUCTS A'!A:A,'PRODUCTS A'!B:B,"Not Found")</f>
        <v>Headset</v>
      </c>
      <c r="K10" t="str">
        <f>_xlfn.XLOOKUP(J10,'PRODUCTS A'!B:B,'PRODUCTS A'!C:C,"Not Found")</f>
        <v>Accessories</v>
      </c>
      <c r="L10" s="9">
        <f>_xlfn.XLOOKUP(J10,'PRODUCTS A'!B:B,'PRODUCTS A'!D:D,"Not Found")</f>
        <v>25000</v>
      </c>
      <c r="M10" s="10">
        <f t="shared" si="0"/>
        <v>125000</v>
      </c>
    </row>
    <row r="11" spans="1:13" x14ac:dyDescent="0.25">
      <c r="A11" t="str">
        <f>_xlfn.XLOOKUP(E11,'CUSTOMERS A'!A:A,'CUSTOMERS A'!B:B,"Not Found")</f>
        <v>Ibrahim Sani</v>
      </c>
      <c r="B11" t="str">
        <f>_xlfn.XLOOKUP(A11,'CUSTOMERS A'!B:B,'CUSTOMERS A'!C:C,"Not Found")</f>
        <v>Abuja</v>
      </c>
      <c r="C11" t="str">
        <f>_xlfn.XLOOKUP(A11,'CUSTOMERS A'!B:B,'CUSTOMERS A'!D:D,"Not Found")</f>
        <v>Retail</v>
      </c>
      <c r="D11" t="s">
        <v>86</v>
      </c>
      <c r="E11" t="s">
        <v>66</v>
      </c>
      <c r="F11" t="s">
        <v>12</v>
      </c>
      <c r="G11" s="19">
        <v>46153</v>
      </c>
      <c r="H11" s="2">
        <v>1</v>
      </c>
      <c r="I11" s="7">
        <v>0</v>
      </c>
      <c r="J11" t="str">
        <f>_xlfn.XLOOKUP(F11,'PRODUCTS A'!A:A,'PRODUCTS A'!B:B,"Not Found")</f>
        <v>Laptop</v>
      </c>
      <c r="K11" t="str">
        <f>_xlfn.XLOOKUP(J11,'PRODUCTS A'!B:B,'PRODUCTS A'!C:C,"Not Found")</f>
        <v>Electronics</v>
      </c>
      <c r="L11" s="9">
        <f>_xlfn.XLOOKUP(J11,'PRODUCTS A'!B:B,'PRODUCTS A'!D:D,"Not Found")</f>
        <v>450000</v>
      </c>
      <c r="M11" s="10">
        <f t="shared" si="0"/>
        <v>450000</v>
      </c>
    </row>
    <row r="12" spans="1:13" x14ac:dyDescent="0.25">
      <c r="A12" t="str">
        <f>_xlfn.XLOOKUP(E12,'CUSTOMERS A'!A:A,'CUSTOMERS A'!B:B,"Not Found")</f>
        <v>Kelvin George</v>
      </c>
      <c r="B12" t="str">
        <f>_xlfn.XLOOKUP(A12,'CUSTOMERS A'!B:B,'CUSTOMERS A'!C:C,"Not Found")</f>
        <v>Port Harcourt</v>
      </c>
      <c r="C12" t="str">
        <f>_xlfn.XLOOKUP(A12,'CUSTOMERS A'!B:B,'CUSTOMERS A'!D:D,"Not Found")</f>
        <v>Retail</v>
      </c>
      <c r="D12" t="s">
        <v>89</v>
      </c>
      <c r="E12" t="s">
        <v>91</v>
      </c>
      <c r="F12" t="s">
        <v>11</v>
      </c>
      <c r="G12" s="19">
        <v>46185</v>
      </c>
      <c r="H12" s="2">
        <v>2</v>
      </c>
      <c r="I12" s="7">
        <v>0.1</v>
      </c>
      <c r="J12" t="str">
        <f>_xlfn.XLOOKUP(F12,'PRODUCTS A'!A:A,'PRODUCTS A'!B:B,"Not Found")</f>
        <v>Mouse</v>
      </c>
      <c r="K12" t="str">
        <f>_xlfn.XLOOKUP(J12,'PRODUCTS A'!B:B,'PRODUCTS A'!C:C,"Not Found")</f>
        <v>Accessories</v>
      </c>
      <c r="L12" s="9">
        <f>_xlfn.XLOOKUP(J12,'PRODUCTS A'!B:B,'PRODUCTS A'!D:D,"Not Found")</f>
        <v>8000</v>
      </c>
      <c r="M12" s="10">
        <f t="shared" si="0"/>
        <v>14400</v>
      </c>
    </row>
    <row r="13" spans="1:13" x14ac:dyDescent="0.25">
      <c r="A13" t="str">
        <f>_xlfn.XLOOKUP(E13,'CUSTOMERS A'!A:A,'CUSTOMERS A'!B:B,"Not Found")</f>
        <v>Grace Eze</v>
      </c>
      <c r="B13" t="str">
        <f>_xlfn.XLOOKUP(A13,'CUSTOMERS A'!B:B,'CUSTOMERS A'!C:C,"Not Found")</f>
        <v>Benin City</v>
      </c>
      <c r="C13" t="str">
        <f>_xlfn.XLOOKUP(A13,'CUSTOMERS A'!B:B,'CUSTOMERS A'!D:D,"Not Found")</f>
        <v>Retail</v>
      </c>
      <c r="D13" t="s">
        <v>93</v>
      </c>
      <c r="E13" t="s">
        <v>65</v>
      </c>
      <c r="F13" t="s">
        <v>21</v>
      </c>
      <c r="G13" s="19">
        <v>46035</v>
      </c>
      <c r="H13" s="2">
        <v>3</v>
      </c>
      <c r="I13" s="7">
        <v>0</v>
      </c>
      <c r="J13" t="str">
        <f>_xlfn.XLOOKUP(F13,'PRODUCTS A'!A:A,'PRODUCTS A'!B:B,"Not Found")</f>
        <v>Desk</v>
      </c>
      <c r="K13" t="str">
        <f>_xlfn.XLOOKUP(J13,'PRODUCTS A'!B:B,'PRODUCTS A'!C:C,"Not Found")</f>
        <v>Furniture</v>
      </c>
      <c r="L13" s="9">
        <f>_xlfn.XLOOKUP(J13,'PRODUCTS A'!B:B,'PRODUCTS A'!D:D,"Not Found")</f>
        <v>140000</v>
      </c>
      <c r="M13" s="10">
        <f t="shared" si="0"/>
        <v>420000</v>
      </c>
    </row>
    <row r="14" spans="1:13" x14ac:dyDescent="0.25">
      <c r="A14" t="str">
        <f>_xlfn.XLOOKUP(E14,'CUSTOMERS A'!A:A,'CUSTOMERS A'!B:B,"Not Found")</f>
        <v>David Umeh</v>
      </c>
      <c r="B14" t="str">
        <f>_xlfn.XLOOKUP(A14,'CUSTOMERS A'!B:B,'CUSTOMERS A'!C:C,"Not Found")</f>
        <v>Asaba</v>
      </c>
      <c r="C14" t="str">
        <f>_xlfn.XLOOKUP(A14,'CUSTOMERS A'!B:B,'CUSTOMERS A'!D:D,"Not Found")</f>
        <v>Corporate</v>
      </c>
      <c r="D14" t="s">
        <v>99</v>
      </c>
      <c r="E14" t="s">
        <v>98</v>
      </c>
      <c r="F14" t="s">
        <v>30</v>
      </c>
      <c r="G14" s="19">
        <v>46067</v>
      </c>
      <c r="H14" s="2">
        <v>4</v>
      </c>
      <c r="I14" s="7">
        <v>0</v>
      </c>
      <c r="J14" t="str">
        <f>_xlfn.XLOOKUP(F14,'PRODUCTS A'!A:A,'PRODUCTS A'!B:B,"Not Found")</f>
        <v>External Drive</v>
      </c>
      <c r="K14" t="str">
        <f>_xlfn.XLOOKUP(J14,'PRODUCTS A'!B:B,'PRODUCTS A'!C:C,"Not Found")</f>
        <v>Electronics</v>
      </c>
      <c r="L14" s="9">
        <f>_xlfn.XLOOKUP(J14,'PRODUCTS A'!B:B,'PRODUCTS A'!D:D,"Not Found")</f>
        <v>75000</v>
      </c>
      <c r="M14" s="10">
        <f t="shared" si="0"/>
        <v>300000</v>
      </c>
    </row>
    <row r="15" spans="1:13" x14ac:dyDescent="0.25">
      <c r="A15" t="str">
        <f>_xlfn.XLOOKUP(E15,'CUSTOMERS A'!A:A,'CUSTOMERS A'!B:B,"Not Found")</f>
        <v>Mercy John</v>
      </c>
      <c r="B15" t="str">
        <f>_xlfn.XLOOKUP(A15,'CUSTOMERS A'!B:B,'CUSTOMERS A'!C:C,"Not Found")</f>
        <v>Benin City</v>
      </c>
      <c r="C15" t="str">
        <f>_xlfn.XLOOKUP(A15,'CUSTOMERS A'!B:B,'CUSTOMERS A'!D:D,"Not Found")</f>
        <v>Wholesale</v>
      </c>
      <c r="D15" t="s">
        <v>105</v>
      </c>
      <c r="E15" t="s">
        <v>107</v>
      </c>
      <c r="F15" t="s">
        <v>24</v>
      </c>
      <c r="G15" s="19">
        <v>46096</v>
      </c>
      <c r="H15" s="2">
        <v>5</v>
      </c>
      <c r="I15" s="7">
        <v>0.05</v>
      </c>
      <c r="J15" t="str">
        <f>_xlfn.XLOOKUP(F15,'PRODUCTS A'!A:A,'PRODUCTS A'!B:B,"Not Found")</f>
        <v>Keyboard</v>
      </c>
      <c r="K15" t="str">
        <f>_xlfn.XLOOKUP(J15,'PRODUCTS A'!B:B,'PRODUCTS A'!C:C,"Not Found")</f>
        <v>Accessories</v>
      </c>
      <c r="L15" s="9">
        <f>_xlfn.XLOOKUP(J15,'PRODUCTS A'!B:B,'PRODUCTS A'!D:D,"Not Found")</f>
        <v>15000</v>
      </c>
      <c r="M15" s="10">
        <f t="shared" si="0"/>
        <v>71250</v>
      </c>
    </row>
    <row r="16" spans="1:13" x14ac:dyDescent="0.25">
      <c r="A16" t="str">
        <f>_xlfn.XLOOKUP(E16,'CUSTOMERS A'!A:A,'CUSTOMERS A'!B:B,"Not Found")</f>
        <v>Samuel Adeyemi</v>
      </c>
      <c r="B16" t="str">
        <f>_xlfn.XLOOKUP(A16,'CUSTOMERS A'!B:B,'CUSTOMERS A'!C:C,"Not Found")</f>
        <v>Ibadan</v>
      </c>
      <c r="C16" t="str">
        <f>_xlfn.XLOOKUP(A16,'CUSTOMERS A'!B:B,'CUSTOMERS A'!D:D,"Not Found")</f>
        <v>Wholesale</v>
      </c>
      <c r="D16" t="s">
        <v>112</v>
      </c>
      <c r="E16" t="s">
        <v>71</v>
      </c>
      <c r="F16" t="s">
        <v>47</v>
      </c>
      <c r="G16" s="19">
        <v>46128</v>
      </c>
      <c r="H16" s="2">
        <v>1</v>
      </c>
      <c r="I16" s="7">
        <v>0</v>
      </c>
      <c r="J16" t="str">
        <f>_xlfn.XLOOKUP(F16,'PRODUCTS A'!A:A,'PRODUCTS A'!B:B,"Not Found")</f>
        <v>Office Chair</v>
      </c>
      <c r="K16" t="str">
        <f>_xlfn.XLOOKUP(J16,'PRODUCTS A'!B:B,'PRODUCTS A'!C:C,"Not Found")</f>
        <v>Furniture</v>
      </c>
      <c r="L16" s="9">
        <f>_xlfn.XLOOKUP(J16,'PRODUCTS A'!B:B,'PRODUCTS A'!D:D,"Not Found")</f>
        <v>95000</v>
      </c>
      <c r="M16" s="10">
        <f t="shared" si="0"/>
        <v>95000</v>
      </c>
    </row>
    <row r="17" spans="1:13" x14ac:dyDescent="0.25">
      <c r="A17" t="str">
        <f>_xlfn.XLOOKUP(E17,'CUSTOMERS A'!A:A,'CUSTOMERS A'!B:B,"Not Found")</f>
        <v>Joy Akpan</v>
      </c>
      <c r="B17" t="str">
        <f>_xlfn.XLOOKUP(A17,'CUSTOMERS A'!B:B,'CUSTOMERS A'!C:C,"Not Found")</f>
        <v>Uyo</v>
      </c>
      <c r="C17" t="str">
        <f>_xlfn.XLOOKUP(A17,'CUSTOMERS A'!B:B,'CUSTOMERS A'!D:D,"Not Found")</f>
        <v>Retail</v>
      </c>
      <c r="D17" t="s">
        <v>115</v>
      </c>
      <c r="E17" t="s">
        <v>103</v>
      </c>
      <c r="F17" t="s">
        <v>58</v>
      </c>
      <c r="G17" s="19">
        <v>46159</v>
      </c>
      <c r="H17" s="2">
        <v>2</v>
      </c>
      <c r="I17" s="7">
        <v>0</v>
      </c>
      <c r="J17" t="str">
        <f>_xlfn.XLOOKUP(F17,'PRODUCTS A'!A:A,'PRODUCTS A'!B:B,"Not Found")</f>
        <v>Tablet</v>
      </c>
      <c r="K17" t="str">
        <f>_xlfn.XLOOKUP(J17,'PRODUCTS A'!B:B,'PRODUCTS A'!C:C,"Not Found")</f>
        <v>Electronics</v>
      </c>
      <c r="L17" s="9">
        <f>_xlfn.XLOOKUP(J17,'PRODUCTS A'!B:B,'PRODUCTS A'!D:D,"Not Found")</f>
        <v>220000</v>
      </c>
      <c r="M17" s="10">
        <f t="shared" si="0"/>
        <v>440000</v>
      </c>
    </row>
    <row r="18" spans="1:13" x14ac:dyDescent="0.25">
      <c r="A18" t="str">
        <f>_xlfn.XLOOKUP(E18,'CUSTOMERS A'!A:A,'CUSTOMERS A'!B:B,"Not Found")</f>
        <v>Tunde Adebayo</v>
      </c>
      <c r="B18" t="str">
        <f>_xlfn.XLOOKUP(A18,'CUSTOMERS A'!B:B,'CUSTOMERS A'!C:C,"Not Found")</f>
        <v>Ibadan</v>
      </c>
      <c r="C18" t="str">
        <f>_xlfn.XLOOKUP(A18,'CUSTOMERS A'!B:B,'CUSTOMERS A'!D:D,"Not Found")</f>
        <v>Corporate</v>
      </c>
      <c r="D18" t="s">
        <v>119</v>
      </c>
      <c r="E18" t="s">
        <v>121</v>
      </c>
      <c r="F18" t="s">
        <v>17</v>
      </c>
      <c r="G18" s="19">
        <v>46191</v>
      </c>
      <c r="H18" s="2">
        <v>3</v>
      </c>
      <c r="I18" s="7">
        <v>0</v>
      </c>
      <c r="J18" t="str">
        <f>_xlfn.XLOOKUP(F18,'PRODUCTS A'!A:A,'PRODUCTS A'!B:B,"Not Found")</f>
        <v>Monitor</v>
      </c>
      <c r="K18" t="str">
        <f>_xlfn.XLOOKUP(J18,'PRODUCTS A'!B:B,'PRODUCTS A'!C:C,"Not Found")</f>
        <v>Electronics</v>
      </c>
      <c r="L18" s="9">
        <f>_xlfn.XLOOKUP(J18,'PRODUCTS A'!B:B,'PRODUCTS A'!D:D,"Not Found")</f>
        <v>180000</v>
      </c>
      <c r="M18" s="10">
        <f t="shared" si="0"/>
        <v>540000</v>
      </c>
    </row>
    <row r="19" spans="1:13" x14ac:dyDescent="0.25">
      <c r="A19" t="str">
        <f>_xlfn.XLOOKUP(E19,'CUSTOMERS A'!A:A,'CUSTOMERS A'!B:B,"Not Found")</f>
        <v>Fatima Musa</v>
      </c>
      <c r="B19" t="str">
        <f>_xlfn.XLOOKUP(A19,'CUSTOMERS A'!B:B,'CUSTOMERS A'!C:C,"Not Found")</f>
        <v>Kaduna</v>
      </c>
      <c r="C19" t="str">
        <f>_xlfn.XLOOKUP(A19,'CUSTOMERS A'!B:B,'CUSTOMERS A'!D:D,"Not Found")</f>
        <v>Retail</v>
      </c>
      <c r="D19" t="s">
        <v>123</v>
      </c>
      <c r="E19" t="s">
        <v>79</v>
      </c>
      <c r="F19" t="s">
        <v>40</v>
      </c>
      <c r="G19" s="19">
        <v>46041</v>
      </c>
      <c r="H19" s="2">
        <v>4</v>
      </c>
      <c r="I19" s="7">
        <v>0</v>
      </c>
      <c r="J19" t="str">
        <f>_xlfn.XLOOKUP(F19,'PRODUCTS A'!A:A,'PRODUCTS A'!B:B,"Not Found")</f>
        <v>Printer</v>
      </c>
      <c r="K19" t="str">
        <f>_xlfn.XLOOKUP(J19,'PRODUCTS A'!B:B,'PRODUCTS A'!C:C,"Not Found")</f>
        <v>Office Equipment</v>
      </c>
      <c r="L19" s="9">
        <f>_xlfn.XLOOKUP(J19,'PRODUCTS A'!B:B,'PRODUCTS A'!D:D,"Not Found")</f>
        <v>120000</v>
      </c>
      <c r="M19" s="10">
        <f t="shared" si="0"/>
        <v>480000</v>
      </c>
    </row>
    <row r="20" spans="1:13" x14ac:dyDescent="0.25">
      <c r="A20" t="str">
        <f>_xlfn.XLOOKUP(E20,'CUSTOMERS A'!A:A,'CUSTOMERS A'!B:B,"Not Found")</f>
        <v>Michael Joseph</v>
      </c>
      <c r="B20" t="str">
        <f>_xlfn.XLOOKUP(A20,'CUSTOMERS A'!B:B,'CUSTOMERS A'!C:C,"Not Found")</f>
        <v>Calabar</v>
      </c>
      <c r="C20" t="str">
        <f>_xlfn.XLOOKUP(A20,'CUSTOMERS A'!B:B,'CUSTOMERS A'!D:D,"Not Found")</f>
        <v>Wholesale</v>
      </c>
      <c r="D20" t="s">
        <v>127</v>
      </c>
      <c r="E20" t="s">
        <v>109</v>
      </c>
      <c r="F20" t="s">
        <v>62</v>
      </c>
      <c r="G20" s="19">
        <v>46073</v>
      </c>
      <c r="H20" s="2">
        <v>5</v>
      </c>
      <c r="I20" s="7">
        <v>0</v>
      </c>
      <c r="J20" t="str">
        <f>_xlfn.XLOOKUP(F20,'PRODUCTS A'!A:A,'PRODUCTS A'!B:B,"Not Found")</f>
        <v>Headset</v>
      </c>
      <c r="K20" t="str">
        <f>_xlfn.XLOOKUP(J20,'PRODUCTS A'!B:B,'PRODUCTS A'!C:C,"Not Found")</f>
        <v>Accessories</v>
      </c>
      <c r="L20" s="9">
        <f>_xlfn.XLOOKUP(J20,'PRODUCTS A'!B:B,'PRODUCTS A'!D:D,"Not Found")</f>
        <v>25000</v>
      </c>
      <c r="M20" s="10">
        <f t="shared" si="0"/>
        <v>125000</v>
      </c>
    </row>
    <row r="21" spans="1:13" x14ac:dyDescent="0.25">
      <c r="A21" t="str">
        <f>_xlfn.XLOOKUP(E21,'CUSTOMERS A'!A:A,'CUSTOMERS A'!B:B,"Not Found")</f>
        <v>Aisha Bello</v>
      </c>
      <c r="B21" t="str">
        <f>_xlfn.XLOOKUP(A21,'CUSTOMERS A'!B:B,'CUSTOMERS A'!C:C,"Not Found")</f>
        <v>Lagos</v>
      </c>
      <c r="C21" t="str">
        <f>_xlfn.XLOOKUP(A21,'CUSTOMERS A'!B:B,'CUSTOMERS A'!D:D,"Not Found")</f>
        <v>Retail</v>
      </c>
      <c r="D21" t="s">
        <v>130</v>
      </c>
      <c r="E21" t="s">
        <v>32</v>
      </c>
      <c r="F21" t="s">
        <v>12</v>
      </c>
      <c r="G21" s="19">
        <v>46102</v>
      </c>
      <c r="H21" s="2">
        <v>1</v>
      </c>
      <c r="I21" s="7">
        <v>0</v>
      </c>
      <c r="J21" t="str">
        <f>_xlfn.XLOOKUP(F21,'PRODUCTS A'!A:A,'PRODUCTS A'!B:B,"Not Found")</f>
        <v>Laptop</v>
      </c>
      <c r="K21" t="str">
        <f>_xlfn.XLOOKUP(J21,'PRODUCTS A'!B:B,'PRODUCTS A'!C:C,"Not Found")</f>
        <v>Electronics</v>
      </c>
      <c r="L21" s="9">
        <f>_xlfn.XLOOKUP(J21,'PRODUCTS A'!B:B,'PRODUCTS A'!D:D,"Not Found")</f>
        <v>450000</v>
      </c>
      <c r="M21" s="10">
        <f t="shared" si="0"/>
        <v>450000</v>
      </c>
    </row>
    <row r="22" spans="1:13" x14ac:dyDescent="0.25">
      <c r="A22" t="str">
        <f>_xlfn.XLOOKUP(E22,'CUSTOMERS A'!A:A,'CUSTOMERS A'!B:B,"Not Found")</f>
        <v>Emeka Nwosu</v>
      </c>
      <c r="B22" t="str">
        <f>_xlfn.XLOOKUP(A22,'CUSTOMERS A'!B:B,'CUSTOMERS A'!C:C,"Not Found")</f>
        <v>Enugu</v>
      </c>
      <c r="C22" t="str">
        <f>_xlfn.XLOOKUP(A22,'CUSTOMERS A'!B:B,'CUSTOMERS A'!D:D,"Not Found")</f>
        <v>Corporate</v>
      </c>
      <c r="D22" t="s">
        <v>132</v>
      </c>
      <c r="E22" t="s">
        <v>10</v>
      </c>
      <c r="F22" t="s">
        <v>11</v>
      </c>
      <c r="G22" s="19">
        <v>46134</v>
      </c>
      <c r="H22" s="2">
        <v>2</v>
      </c>
      <c r="I22" s="7">
        <v>0.05</v>
      </c>
      <c r="J22" t="str">
        <f>_xlfn.XLOOKUP(F22,'PRODUCTS A'!A:A,'PRODUCTS A'!B:B,"Not Found")</f>
        <v>Mouse</v>
      </c>
      <c r="K22" t="str">
        <f>_xlfn.XLOOKUP(J22,'PRODUCTS A'!B:B,'PRODUCTS A'!C:C,"Not Found")</f>
        <v>Accessories</v>
      </c>
      <c r="L22" s="9">
        <f>_xlfn.XLOOKUP(J22,'PRODUCTS A'!B:B,'PRODUCTS A'!D:D,"Not Found")</f>
        <v>8000</v>
      </c>
      <c r="M22" s="10">
        <f t="shared" si="0"/>
        <v>15200</v>
      </c>
    </row>
    <row r="23" spans="1:13" x14ac:dyDescent="0.25">
      <c r="A23" t="str">
        <f>_xlfn.XLOOKUP(E23,'CUSTOMERS A'!A:A,'CUSTOMERS A'!B:B,"Not Found")</f>
        <v>Ruth Daniel</v>
      </c>
      <c r="B23" t="str">
        <f>_xlfn.XLOOKUP(A23,'CUSTOMERS A'!B:B,'CUSTOMERS A'!C:C,"Not Found")</f>
        <v>Lagos</v>
      </c>
      <c r="C23" t="str">
        <f>_xlfn.XLOOKUP(A23,'CUSTOMERS A'!B:B,'CUSTOMERS A'!D:D,"Not Found")</f>
        <v>Corporate</v>
      </c>
      <c r="D23" t="s">
        <v>134</v>
      </c>
      <c r="E23" t="s">
        <v>19</v>
      </c>
      <c r="F23" t="s">
        <v>21</v>
      </c>
      <c r="G23" s="19">
        <v>46165</v>
      </c>
      <c r="H23" s="2">
        <v>3</v>
      </c>
      <c r="I23" s="7">
        <v>0.1</v>
      </c>
      <c r="J23" t="str">
        <f>_xlfn.XLOOKUP(F23,'PRODUCTS A'!A:A,'PRODUCTS A'!B:B,"Not Found")</f>
        <v>Desk</v>
      </c>
      <c r="K23" t="str">
        <f>_xlfn.XLOOKUP(J23,'PRODUCTS A'!B:B,'PRODUCTS A'!C:C,"Not Found")</f>
        <v>Furniture</v>
      </c>
      <c r="L23" s="9">
        <f>_xlfn.XLOOKUP(J23,'PRODUCTS A'!B:B,'PRODUCTS A'!D:D,"Not Found")</f>
        <v>140000</v>
      </c>
      <c r="M23" s="10">
        <f t="shared" si="0"/>
        <v>378000</v>
      </c>
    </row>
    <row r="24" spans="1:13" x14ac:dyDescent="0.25">
      <c r="A24" t="str">
        <f>_xlfn.XLOOKUP(E24,'CUSTOMERS A'!A:A,'CUSTOMERS A'!B:B,"Not Found")</f>
        <v>Daniel Okafor</v>
      </c>
      <c r="B24" t="str">
        <f>_xlfn.XLOOKUP(A24,'CUSTOMERS A'!B:B,'CUSTOMERS A'!C:C,"Not Found")</f>
        <v>Abuja</v>
      </c>
      <c r="C24" t="str">
        <f>_xlfn.XLOOKUP(A24,'CUSTOMERS A'!B:B,'CUSTOMERS A'!D:D,"Not Found")</f>
        <v>Corporate</v>
      </c>
      <c r="D24" t="s">
        <v>136</v>
      </c>
      <c r="E24" t="s">
        <v>29</v>
      </c>
      <c r="F24" t="s">
        <v>30</v>
      </c>
      <c r="G24" s="19">
        <v>46197</v>
      </c>
      <c r="H24" s="2">
        <v>4</v>
      </c>
      <c r="I24" s="7">
        <v>0</v>
      </c>
      <c r="J24" t="str">
        <f>_xlfn.XLOOKUP(F24,'PRODUCTS A'!A:A,'PRODUCTS A'!B:B,"Not Found")</f>
        <v>External Drive</v>
      </c>
      <c r="K24" t="str">
        <f>_xlfn.XLOOKUP(J24,'PRODUCTS A'!B:B,'PRODUCTS A'!C:C,"Not Found")</f>
        <v>Electronics</v>
      </c>
      <c r="L24" s="9">
        <f>_xlfn.XLOOKUP(J24,'PRODUCTS A'!B:B,'PRODUCTS A'!D:D,"Not Found")</f>
        <v>75000</v>
      </c>
      <c r="M24" s="10">
        <f t="shared" si="0"/>
        <v>300000</v>
      </c>
    </row>
    <row r="25" spans="1:13" x14ac:dyDescent="0.25">
      <c r="A25" t="str">
        <f>_xlfn.XLOOKUP(E25,'CUSTOMERS A'!A:A,'CUSTOMERS A'!B:B,"Not Found")</f>
        <v>Blessing Ojo</v>
      </c>
      <c r="B25" t="str">
        <f>_xlfn.XLOOKUP(A25,'CUSTOMERS A'!B:B,'CUSTOMERS A'!C:C,"Not Found")</f>
        <v>Lagos</v>
      </c>
      <c r="C25" t="str">
        <f>_xlfn.XLOOKUP(A25,'CUSTOMERS A'!B:B,'CUSTOMERS A'!D:D,"Not Found")</f>
        <v>Wholesale</v>
      </c>
      <c r="D25" t="s">
        <v>138</v>
      </c>
      <c r="E25" t="s">
        <v>36</v>
      </c>
      <c r="F25" t="s">
        <v>24</v>
      </c>
      <c r="G25" s="19">
        <v>46047</v>
      </c>
      <c r="H25" s="2">
        <v>5</v>
      </c>
      <c r="I25" s="7">
        <v>0</v>
      </c>
      <c r="J25" t="str">
        <f>_xlfn.XLOOKUP(F25,'PRODUCTS A'!A:A,'PRODUCTS A'!B:B,"Not Found")</f>
        <v>Keyboard</v>
      </c>
      <c r="K25" t="str">
        <f>_xlfn.XLOOKUP(J25,'PRODUCTS A'!B:B,'PRODUCTS A'!C:C,"Not Found")</f>
        <v>Accessories</v>
      </c>
      <c r="L25" s="9">
        <f>_xlfn.XLOOKUP(J25,'PRODUCTS A'!B:B,'PRODUCTS A'!D:D,"Not Found")</f>
        <v>15000</v>
      </c>
      <c r="M25" s="10">
        <f t="shared" si="0"/>
        <v>75000</v>
      </c>
    </row>
    <row r="26" spans="1:13" x14ac:dyDescent="0.25">
      <c r="A26" t="str">
        <f>_xlfn.XLOOKUP(E26,'CUSTOMERS A'!A:A,'CUSTOMERS A'!B:B,"Not Found")</f>
        <v>Peter Williams</v>
      </c>
      <c r="B26" t="str">
        <f>_xlfn.XLOOKUP(A26,'CUSTOMERS A'!B:B,'CUSTOMERS A'!C:C,"Not Found")</f>
        <v>Abeokuta</v>
      </c>
      <c r="C26" t="str">
        <f>_xlfn.XLOOKUP(A26,'CUSTOMERS A'!B:B,'CUSTOMERS A'!D:D,"Not Found")</f>
        <v>Retail</v>
      </c>
      <c r="D26" t="s">
        <v>140</v>
      </c>
      <c r="E26" t="s">
        <v>49</v>
      </c>
      <c r="F26" t="s">
        <v>47</v>
      </c>
      <c r="G26" s="19">
        <v>46079</v>
      </c>
      <c r="H26" s="2">
        <v>1</v>
      </c>
      <c r="I26" s="7">
        <v>0</v>
      </c>
      <c r="J26" t="str">
        <f>_xlfn.XLOOKUP(F26,'PRODUCTS A'!A:A,'PRODUCTS A'!B:B,"Not Found")</f>
        <v>Office Chair</v>
      </c>
      <c r="K26" t="str">
        <f>_xlfn.XLOOKUP(J26,'PRODUCTS A'!B:B,'PRODUCTS A'!C:C,"Not Found")</f>
        <v>Furniture</v>
      </c>
      <c r="L26" s="9">
        <f>_xlfn.XLOOKUP(J26,'PRODUCTS A'!B:B,'PRODUCTS A'!D:D,"Not Found")</f>
        <v>95000</v>
      </c>
      <c r="M26" s="10">
        <f t="shared" si="0"/>
        <v>95000</v>
      </c>
    </row>
    <row r="27" spans="1:13" x14ac:dyDescent="0.25">
      <c r="A27" t="str">
        <f>_xlfn.XLOOKUP(E27,'CUSTOMERS A'!A:A,'CUSTOMERS A'!B:B,"Not Found")</f>
        <v>Mariam Yusuf</v>
      </c>
      <c r="B27" t="str">
        <f>_xlfn.XLOOKUP(A27,'CUSTOMERS A'!B:B,'CUSTOMERS A'!C:C,"Not Found")</f>
        <v>Kano</v>
      </c>
      <c r="C27" t="str">
        <f>_xlfn.XLOOKUP(A27,'CUSTOMERS A'!B:B,'CUSTOMERS A'!D:D,"Not Found")</f>
        <v>Retail</v>
      </c>
      <c r="D27" t="s">
        <v>142</v>
      </c>
      <c r="E27" t="s">
        <v>50</v>
      </c>
      <c r="F27" t="s">
        <v>58</v>
      </c>
      <c r="G27" s="19">
        <v>46108</v>
      </c>
      <c r="H27" s="2">
        <v>2</v>
      </c>
      <c r="I27" s="7">
        <v>0</v>
      </c>
      <c r="J27" t="str">
        <f>_xlfn.XLOOKUP(F27,'PRODUCTS A'!A:A,'PRODUCTS A'!B:B,"Not Found")</f>
        <v>Tablet</v>
      </c>
      <c r="K27" t="str">
        <f>_xlfn.XLOOKUP(J27,'PRODUCTS A'!B:B,'PRODUCTS A'!C:C,"Not Found")</f>
        <v>Electronics</v>
      </c>
      <c r="L27" s="9">
        <f>_xlfn.XLOOKUP(J27,'PRODUCTS A'!B:B,'PRODUCTS A'!D:D,"Not Found")</f>
        <v>220000</v>
      </c>
      <c r="M27" s="10">
        <f t="shared" si="0"/>
        <v>440000</v>
      </c>
    </row>
    <row r="28" spans="1:13" x14ac:dyDescent="0.25">
      <c r="A28" t="str">
        <f>_xlfn.XLOOKUP(E28,'CUSTOMERS A'!A:A,'CUSTOMERS A'!B:B,"Not Found")</f>
        <v>Ibrahim Sani</v>
      </c>
      <c r="B28" t="str">
        <f>_xlfn.XLOOKUP(A28,'CUSTOMERS A'!B:B,'CUSTOMERS A'!C:C,"Not Found")</f>
        <v>Abuja</v>
      </c>
      <c r="C28" t="str">
        <f>_xlfn.XLOOKUP(A28,'CUSTOMERS A'!B:B,'CUSTOMERS A'!D:D,"Not Found")</f>
        <v>Retail</v>
      </c>
      <c r="D28" t="s">
        <v>144</v>
      </c>
      <c r="E28" t="s">
        <v>66</v>
      </c>
      <c r="F28" t="s">
        <v>17</v>
      </c>
      <c r="G28" s="19">
        <v>46113</v>
      </c>
      <c r="H28" s="2">
        <v>3</v>
      </c>
      <c r="I28" s="7">
        <v>0</v>
      </c>
      <c r="J28" t="str">
        <f>_xlfn.XLOOKUP(F28,'PRODUCTS A'!A:A,'PRODUCTS A'!B:B,"Not Found")</f>
        <v>Monitor</v>
      </c>
      <c r="K28" t="str">
        <f>_xlfn.XLOOKUP(J28,'PRODUCTS A'!B:B,'PRODUCTS A'!C:C,"Not Found")</f>
        <v>Electronics</v>
      </c>
      <c r="L28" s="9">
        <f>_xlfn.XLOOKUP(J28,'PRODUCTS A'!B:B,'PRODUCTS A'!D:D,"Not Found")</f>
        <v>180000</v>
      </c>
      <c r="M28" s="10">
        <f t="shared" si="0"/>
        <v>540000</v>
      </c>
    </row>
    <row r="29" spans="1:13" x14ac:dyDescent="0.25">
      <c r="A29" t="str">
        <f>_xlfn.XLOOKUP(E29,'CUSTOMERS A'!A:A,'CUSTOMERS A'!B:B,"Not Found")</f>
        <v>Hauwa Ali</v>
      </c>
      <c r="B29" t="str">
        <f>_xlfn.XLOOKUP(A29,'CUSTOMERS A'!B:B,'CUSTOMERS A'!C:C,"Not Found")</f>
        <v>Kano</v>
      </c>
      <c r="C29" t="str">
        <f>_xlfn.XLOOKUP(A29,'CUSTOMERS A'!B:B,'CUSTOMERS A'!D:D,"Not Found")</f>
        <v>Corporate</v>
      </c>
      <c r="D29" t="s">
        <v>146</v>
      </c>
      <c r="E29" t="s">
        <v>75</v>
      </c>
      <c r="F29" t="s">
        <v>40</v>
      </c>
      <c r="G29" s="19">
        <v>46144</v>
      </c>
      <c r="H29" s="2">
        <v>4</v>
      </c>
      <c r="I29" s="7">
        <v>0.05</v>
      </c>
      <c r="J29" t="str">
        <f>_xlfn.XLOOKUP(F29,'PRODUCTS A'!A:A,'PRODUCTS A'!B:B,"Not Found")</f>
        <v>Printer</v>
      </c>
      <c r="K29" t="str">
        <f>_xlfn.XLOOKUP(J29,'PRODUCTS A'!B:B,'PRODUCTS A'!C:C,"Not Found")</f>
        <v>Office Equipment</v>
      </c>
      <c r="L29" s="9">
        <f>_xlfn.XLOOKUP(J29,'PRODUCTS A'!B:B,'PRODUCTS A'!D:D,"Not Found")</f>
        <v>120000</v>
      </c>
      <c r="M29" s="10">
        <f t="shared" si="0"/>
        <v>456000</v>
      </c>
    </row>
    <row r="30" spans="1:13" x14ac:dyDescent="0.25">
      <c r="A30" t="str">
        <f>_xlfn.XLOOKUP(E30,'CUSTOMERS A'!A:A,'CUSTOMERS A'!B:B,"Not Found")</f>
        <v>Chinedu Obi</v>
      </c>
      <c r="B30" t="str">
        <f>_xlfn.XLOOKUP(A30,'CUSTOMERS A'!B:B,'CUSTOMERS A'!C:C,"Not Found")</f>
        <v>Port Harcourt</v>
      </c>
      <c r="C30" t="str">
        <f>_xlfn.XLOOKUP(A30,'CUSTOMERS A'!B:B,'CUSTOMERS A'!D:D,"Not Found")</f>
        <v>Corporate</v>
      </c>
      <c r="D30" t="s">
        <v>148</v>
      </c>
      <c r="E30" t="s">
        <v>57</v>
      </c>
      <c r="F30" t="s">
        <v>62</v>
      </c>
      <c r="G30" s="19">
        <v>46176</v>
      </c>
      <c r="H30" s="2">
        <v>5</v>
      </c>
      <c r="I30" s="7">
        <v>0</v>
      </c>
      <c r="J30" t="str">
        <f>_xlfn.XLOOKUP(F30,'PRODUCTS A'!A:A,'PRODUCTS A'!B:B,"Not Found")</f>
        <v>Headset</v>
      </c>
      <c r="K30" t="str">
        <f>_xlfn.XLOOKUP(J30,'PRODUCTS A'!B:B,'PRODUCTS A'!C:C,"Not Found")</f>
        <v>Accessories</v>
      </c>
      <c r="L30" s="9">
        <f>_xlfn.XLOOKUP(J30,'PRODUCTS A'!B:B,'PRODUCTS A'!D:D,"Not Found")</f>
        <v>25000</v>
      </c>
      <c r="M30" s="10">
        <f t="shared" si="0"/>
        <v>125000</v>
      </c>
    </row>
    <row r="31" spans="1:13" x14ac:dyDescent="0.25">
      <c r="A31" t="str">
        <f>_xlfn.XLOOKUP(E31,'CUSTOMERS A'!A:A,'CUSTOMERS A'!B:B,"Not Found")</f>
        <v>Esther James</v>
      </c>
      <c r="B31" t="str">
        <f>_xlfn.XLOOKUP(A31,'CUSTOMERS A'!B:B,'CUSTOMERS A'!C:C,"Not Found")</f>
        <v>Warri</v>
      </c>
      <c r="C31" t="str">
        <f>_xlfn.XLOOKUP(A31,'CUSTOMERS A'!B:B,'CUSTOMERS A'!D:D,"Not Found")</f>
        <v>Retail</v>
      </c>
      <c r="D31" t="s">
        <v>150</v>
      </c>
      <c r="E31" t="s">
        <v>94</v>
      </c>
      <c r="F31" t="s">
        <v>12</v>
      </c>
      <c r="G31" s="19">
        <v>46026</v>
      </c>
      <c r="H31" s="2">
        <v>1</v>
      </c>
      <c r="I31" s="7">
        <v>0</v>
      </c>
      <c r="J31" t="str">
        <f>_xlfn.XLOOKUP(F31,'PRODUCTS A'!A:A,'PRODUCTS A'!B:B,"Not Found")</f>
        <v>Laptop</v>
      </c>
      <c r="K31" t="str">
        <f>_xlfn.XLOOKUP(J31,'PRODUCTS A'!B:B,'PRODUCTS A'!C:C,"Not Found")</f>
        <v>Electronics</v>
      </c>
      <c r="L31" s="9">
        <f>_xlfn.XLOOKUP(J31,'PRODUCTS A'!B:B,'PRODUCTS A'!D:D,"Not Found")</f>
        <v>450000</v>
      </c>
      <c r="M31" s="10">
        <f t="shared" si="0"/>
        <v>450000</v>
      </c>
    </row>
    <row r="32" spans="1:13" x14ac:dyDescent="0.25">
      <c r="A32" t="str">
        <f>_xlfn.XLOOKUP(E32,'CUSTOMERS A'!A:A,'CUSTOMERS A'!B:B,"Not Found")</f>
        <v>Kelvin George</v>
      </c>
      <c r="B32" t="str">
        <f>_xlfn.XLOOKUP(A32,'CUSTOMERS A'!B:B,'CUSTOMERS A'!C:C,"Not Found")</f>
        <v>Port Harcourt</v>
      </c>
      <c r="C32" t="str">
        <f>_xlfn.XLOOKUP(A32,'CUSTOMERS A'!B:B,'CUSTOMERS A'!D:D,"Not Found")</f>
        <v>Retail</v>
      </c>
      <c r="D32" t="s">
        <v>152</v>
      </c>
      <c r="E32" t="s">
        <v>91</v>
      </c>
      <c r="F32" t="s">
        <v>11</v>
      </c>
      <c r="G32" s="19">
        <v>46058</v>
      </c>
      <c r="H32" s="2">
        <v>2</v>
      </c>
      <c r="I32" s="7">
        <v>0</v>
      </c>
      <c r="J32" t="str">
        <f>_xlfn.XLOOKUP(F32,'PRODUCTS A'!A:A,'PRODUCTS A'!B:B,"Not Found")</f>
        <v>Mouse</v>
      </c>
      <c r="K32" t="str">
        <f>_xlfn.XLOOKUP(J32,'PRODUCTS A'!B:B,'PRODUCTS A'!C:C,"Not Found")</f>
        <v>Accessories</v>
      </c>
      <c r="L32" s="9">
        <f>_xlfn.XLOOKUP(J32,'PRODUCTS A'!B:B,'PRODUCTS A'!D:D,"Not Found")</f>
        <v>8000</v>
      </c>
      <c r="M32" s="10">
        <f t="shared" si="0"/>
        <v>16000</v>
      </c>
    </row>
    <row r="33" spans="1:13" x14ac:dyDescent="0.25">
      <c r="A33" t="str">
        <f>_xlfn.XLOOKUP(E33,'CUSTOMERS A'!A:A,'CUSTOMERS A'!B:B,"Not Found")</f>
        <v>Grace Eze</v>
      </c>
      <c r="B33" t="str">
        <f>_xlfn.XLOOKUP(A33,'CUSTOMERS A'!B:B,'CUSTOMERS A'!C:C,"Not Found")</f>
        <v>Benin City</v>
      </c>
      <c r="C33" t="str">
        <f>_xlfn.XLOOKUP(A33,'CUSTOMERS A'!B:B,'CUSTOMERS A'!D:D,"Not Found")</f>
        <v>Retail</v>
      </c>
      <c r="D33" t="s">
        <v>154</v>
      </c>
      <c r="E33" t="s">
        <v>65</v>
      </c>
      <c r="F33" t="s">
        <v>21</v>
      </c>
      <c r="G33" s="19">
        <v>46087</v>
      </c>
      <c r="H33" s="2">
        <v>3</v>
      </c>
      <c r="I33" s="7">
        <v>0</v>
      </c>
      <c r="J33" t="str">
        <f>_xlfn.XLOOKUP(F33,'PRODUCTS A'!A:A,'PRODUCTS A'!B:B,"Not Found")</f>
        <v>Desk</v>
      </c>
      <c r="K33" t="str">
        <f>_xlfn.XLOOKUP(J33,'PRODUCTS A'!B:B,'PRODUCTS A'!C:C,"Not Found")</f>
        <v>Furniture</v>
      </c>
      <c r="L33" s="9">
        <f>_xlfn.XLOOKUP(J33,'PRODUCTS A'!B:B,'PRODUCTS A'!D:D,"Not Found")</f>
        <v>140000</v>
      </c>
      <c r="M33" s="10">
        <f t="shared" si="0"/>
        <v>420000</v>
      </c>
    </row>
    <row r="34" spans="1:13" x14ac:dyDescent="0.25">
      <c r="A34" t="str">
        <f>_xlfn.XLOOKUP(E34,'CUSTOMERS A'!A:A,'CUSTOMERS A'!B:B,"Not Found")</f>
        <v>David Umeh</v>
      </c>
      <c r="B34" t="str">
        <f>_xlfn.XLOOKUP(A34,'CUSTOMERS A'!B:B,'CUSTOMERS A'!C:C,"Not Found")</f>
        <v>Asaba</v>
      </c>
      <c r="C34" t="str">
        <f>_xlfn.XLOOKUP(A34,'CUSTOMERS A'!B:B,'CUSTOMERS A'!D:D,"Not Found")</f>
        <v>Corporate</v>
      </c>
      <c r="D34" t="s">
        <v>156</v>
      </c>
      <c r="E34" t="s">
        <v>98</v>
      </c>
      <c r="F34" t="s">
        <v>30</v>
      </c>
      <c r="G34" s="19">
        <v>46119</v>
      </c>
      <c r="H34" s="2">
        <v>4</v>
      </c>
      <c r="I34" s="7">
        <v>0.1</v>
      </c>
      <c r="J34" t="str">
        <f>_xlfn.XLOOKUP(F34,'PRODUCTS A'!A:A,'PRODUCTS A'!B:B,"Not Found")</f>
        <v>External Drive</v>
      </c>
      <c r="K34" t="str">
        <f>_xlfn.XLOOKUP(J34,'PRODUCTS A'!B:B,'PRODUCTS A'!C:C,"Not Found")</f>
        <v>Electronics</v>
      </c>
      <c r="L34" s="9">
        <f>_xlfn.XLOOKUP(J34,'PRODUCTS A'!B:B,'PRODUCTS A'!D:D,"Not Found")</f>
        <v>75000</v>
      </c>
      <c r="M34" s="10">
        <f t="shared" si="0"/>
        <v>270000</v>
      </c>
    </row>
    <row r="35" spans="1:13" x14ac:dyDescent="0.25">
      <c r="A35" t="str">
        <f>_xlfn.XLOOKUP(E35,'CUSTOMERS A'!A:A,'CUSTOMERS A'!B:B,"Not Found")</f>
        <v>Mercy John</v>
      </c>
      <c r="B35" t="str">
        <f>_xlfn.XLOOKUP(A35,'CUSTOMERS A'!B:B,'CUSTOMERS A'!C:C,"Not Found")</f>
        <v>Benin City</v>
      </c>
      <c r="C35" t="str">
        <f>_xlfn.XLOOKUP(A35,'CUSTOMERS A'!B:B,'CUSTOMERS A'!D:D,"Not Found")</f>
        <v>Wholesale</v>
      </c>
      <c r="D35" t="s">
        <v>158</v>
      </c>
      <c r="E35" t="s">
        <v>107</v>
      </c>
      <c r="F35" t="s">
        <v>24</v>
      </c>
      <c r="G35" s="19">
        <v>46150</v>
      </c>
      <c r="H35" s="2">
        <v>5</v>
      </c>
      <c r="I35" s="7">
        <v>0</v>
      </c>
      <c r="J35" t="str">
        <f>_xlfn.XLOOKUP(F35,'PRODUCTS A'!A:A,'PRODUCTS A'!B:B,"Not Found")</f>
        <v>Keyboard</v>
      </c>
      <c r="K35" t="str">
        <f>_xlfn.XLOOKUP(J35,'PRODUCTS A'!B:B,'PRODUCTS A'!C:C,"Not Found")</f>
        <v>Accessories</v>
      </c>
      <c r="L35" s="9">
        <f>_xlfn.XLOOKUP(J35,'PRODUCTS A'!B:B,'PRODUCTS A'!D:D,"Not Found")</f>
        <v>15000</v>
      </c>
      <c r="M35" s="10">
        <f t="shared" si="0"/>
        <v>75000</v>
      </c>
    </row>
    <row r="36" spans="1:13" x14ac:dyDescent="0.25">
      <c r="A36" t="str">
        <f>_xlfn.XLOOKUP(E36,'CUSTOMERS A'!A:A,'CUSTOMERS A'!B:B,"Not Found")</f>
        <v>Samuel Adeyemi</v>
      </c>
      <c r="B36" t="str">
        <f>_xlfn.XLOOKUP(A36,'CUSTOMERS A'!B:B,'CUSTOMERS A'!C:C,"Not Found")</f>
        <v>Ibadan</v>
      </c>
      <c r="C36" t="str">
        <f>_xlfn.XLOOKUP(A36,'CUSTOMERS A'!B:B,'CUSTOMERS A'!D:D,"Not Found")</f>
        <v>Wholesale</v>
      </c>
      <c r="D36" t="s">
        <v>160</v>
      </c>
      <c r="E36" t="s">
        <v>71</v>
      </c>
      <c r="F36" t="s">
        <v>47</v>
      </c>
      <c r="G36" s="19">
        <v>46182</v>
      </c>
      <c r="H36" s="2">
        <v>1</v>
      </c>
      <c r="I36" s="7">
        <v>0.05</v>
      </c>
      <c r="J36" t="str">
        <f>_xlfn.XLOOKUP(F36,'PRODUCTS A'!A:A,'PRODUCTS A'!B:B,"Not Found")</f>
        <v>Office Chair</v>
      </c>
      <c r="K36" t="str">
        <f>_xlfn.XLOOKUP(J36,'PRODUCTS A'!B:B,'PRODUCTS A'!C:C,"Not Found")</f>
        <v>Furniture</v>
      </c>
      <c r="L36" s="9">
        <f>_xlfn.XLOOKUP(J36,'PRODUCTS A'!B:B,'PRODUCTS A'!D:D,"Not Found")</f>
        <v>95000</v>
      </c>
      <c r="M36" s="10">
        <f t="shared" si="0"/>
        <v>90250</v>
      </c>
    </row>
    <row r="37" spans="1:13" x14ac:dyDescent="0.25">
      <c r="A37" t="str">
        <f>_xlfn.XLOOKUP(E37,'CUSTOMERS A'!A:A,'CUSTOMERS A'!B:B,"Not Found")</f>
        <v>Joy Akpan</v>
      </c>
      <c r="B37" t="str">
        <f>_xlfn.XLOOKUP(A37,'CUSTOMERS A'!B:B,'CUSTOMERS A'!C:C,"Not Found")</f>
        <v>Uyo</v>
      </c>
      <c r="C37" t="str">
        <f>_xlfn.XLOOKUP(A37,'CUSTOMERS A'!B:B,'CUSTOMERS A'!D:D,"Not Found")</f>
        <v>Retail</v>
      </c>
      <c r="D37" t="s">
        <v>162</v>
      </c>
      <c r="E37" t="s">
        <v>103</v>
      </c>
      <c r="F37" t="s">
        <v>58</v>
      </c>
      <c r="G37" s="19">
        <v>46032</v>
      </c>
      <c r="H37" s="2">
        <v>2</v>
      </c>
      <c r="I37" s="7">
        <v>0</v>
      </c>
      <c r="J37" t="str">
        <f>_xlfn.XLOOKUP(F37,'PRODUCTS A'!A:A,'PRODUCTS A'!B:B,"Not Found")</f>
        <v>Tablet</v>
      </c>
      <c r="K37" t="str">
        <f>_xlfn.XLOOKUP(J37,'PRODUCTS A'!B:B,'PRODUCTS A'!C:C,"Not Found")</f>
        <v>Electronics</v>
      </c>
      <c r="L37" s="9">
        <f>_xlfn.XLOOKUP(J37,'PRODUCTS A'!B:B,'PRODUCTS A'!D:D,"Not Found")</f>
        <v>220000</v>
      </c>
      <c r="M37" s="10">
        <f t="shared" si="0"/>
        <v>440000</v>
      </c>
    </row>
    <row r="38" spans="1:13" x14ac:dyDescent="0.25">
      <c r="A38" t="str">
        <f>_xlfn.XLOOKUP(E38,'CUSTOMERS A'!A:A,'CUSTOMERS A'!B:B,"Not Found")</f>
        <v>Tunde Adebayo</v>
      </c>
      <c r="B38" t="str">
        <f>_xlfn.XLOOKUP(A38,'CUSTOMERS A'!B:B,'CUSTOMERS A'!C:C,"Not Found")</f>
        <v>Ibadan</v>
      </c>
      <c r="C38" t="str">
        <f>_xlfn.XLOOKUP(A38,'CUSTOMERS A'!B:B,'CUSTOMERS A'!D:D,"Not Found")</f>
        <v>Corporate</v>
      </c>
      <c r="D38" t="s">
        <v>164</v>
      </c>
      <c r="E38" t="s">
        <v>121</v>
      </c>
      <c r="F38" t="s">
        <v>17</v>
      </c>
      <c r="G38" s="19">
        <v>46064</v>
      </c>
      <c r="H38" s="2">
        <v>3</v>
      </c>
      <c r="I38" s="7">
        <v>0</v>
      </c>
      <c r="J38" t="str">
        <f>_xlfn.XLOOKUP(F38,'PRODUCTS A'!A:A,'PRODUCTS A'!B:B,"Not Found")</f>
        <v>Monitor</v>
      </c>
      <c r="K38" t="str">
        <f>_xlfn.XLOOKUP(J38,'PRODUCTS A'!B:B,'PRODUCTS A'!C:C,"Not Found")</f>
        <v>Electronics</v>
      </c>
      <c r="L38" s="9">
        <f>_xlfn.XLOOKUP(J38,'PRODUCTS A'!B:B,'PRODUCTS A'!D:D,"Not Found")</f>
        <v>180000</v>
      </c>
      <c r="M38" s="10">
        <f t="shared" si="0"/>
        <v>540000</v>
      </c>
    </row>
    <row r="39" spans="1:13" x14ac:dyDescent="0.25">
      <c r="A39" t="str">
        <f>_xlfn.XLOOKUP(E39,'CUSTOMERS A'!A:A,'CUSTOMERS A'!B:B,"Not Found")</f>
        <v>Fatima Musa</v>
      </c>
      <c r="B39" t="str">
        <f>_xlfn.XLOOKUP(A39,'CUSTOMERS A'!B:B,'CUSTOMERS A'!C:C,"Not Found")</f>
        <v>Kaduna</v>
      </c>
      <c r="C39" t="str">
        <f>_xlfn.XLOOKUP(A39,'CUSTOMERS A'!B:B,'CUSTOMERS A'!D:D,"Not Found")</f>
        <v>Retail</v>
      </c>
      <c r="D39" t="s">
        <v>166</v>
      </c>
      <c r="E39" t="s">
        <v>79</v>
      </c>
      <c r="F39" t="s">
        <v>40</v>
      </c>
      <c r="G39" s="19">
        <v>46093</v>
      </c>
      <c r="H39" s="2">
        <v>4</v>
      </c>
      <c r="I39" s="7">
        <v>0</v>
      </c>
      <c r="J39" t="str">
        <f>_xlfn.XLOOKUP(F39,'PRODUCTS A'!A:A,'PRODUCTS A'!B:B,"Not Found")</f>
        <v>Printer</v>
      </c>
      <c r="K39" t="str">
        <f>_xlfn.XLOOKUP(J39,'PRODUCTS A'!B:B,'PRODUCTS A'!C:C,"Not Found")</f>
        <v>Office Equipment</v>
      </c>
      <c r="L39" s="9">
        <f>_xlfn.XLOOKUP(J39,'PRODUCTS A'!B:B,'PRODUCTS A'!D:D,"Not Found")</f>
        <v>120000</v>
      </c>
      <c r="M39" s="10">
        <f t="shared" si="0"/>
        <v>480000</v>
      </c>
    </row>
    <row r="40" spans="1:13" x14ac:dyDescent="0.25">
      <c r="A40" t="str">
        <f>_xlfn.XLOOKUP(E40,'CUSTOMERS A'!A:A,'CUSTOMERS A'!B:B,"Not Found")</f>
        <v>Michael Joseph</v>
      </c>
      <c r="B40" t="str">
        <f>_xlfn.XLOOKUP(A40,'CUSTOMERS A'!B:B,'CUSTOMERS A'!C:C,"Not Found")</f>
        <v>Calabar</v>
      </c>
      <c r="C40" t="str">
        <f>_xlfn.XLOOKUP(A40,'CUSTOMERS A'!B:B,'CUSTOMERS A'!D:D,"Not Found")</f>
        <v>Wholesale</v>
      </c>
      <c r="D40" t="s">
        <v>168</v>
      </c>
      <c r="E40" t="s">
        <v>109</v>
      </c>
      <c r="F40" t="s">
        <v>62</v>
      </c>
      <c r="G40" s="19">
        <v>46125</v>
      </c>
      <c r="H40" s="2">
        <v>5</v>
      </c>
      <c r="I40" s="7">
        <v>0</v>
      </c>
      <c r="J40" t="str">
        <f>_xlfn.XLOOKUP(F40,'PRODUCTS A'!A:A,'PRODUCTS A'!B:B,"Not Found")</f>
        <v>Headset</v>
      </c>
      <c r="K40" t="str">
        <f>_xlfn.XLOOKUP(J40,'PRODUCTS A'!B:B,'PRODUCTS A'!C:C,"Not Found")</f>
        <v>Accessories</v>
      </c>
      <c r="L40" s="9">
        <f>_xlfn.XLOOKUP(J40,'PRODUCTS A'!B:B,'PRODUCTS A'!D:D,"Not Found")</f>
        <v>25000</v>
      </c>
      <c r="M40" s="10">
        <f t="shared" si="0"/>
        <v>125000</v>
      </c>
    </row>
    <row r="41" spans="1:13" x14ac:dyDescent="0.25">
      <c r="A41" t="str">
        <f>_xlfn.XLOOKUP(E41,'CUSTOMERS A'!A:A,'CUSTOMERS A'!B:B,"Not Found")</f>
        <v>Emeka Nwosu</v>
      </c>
      <c r="B41" t="str">
        <f>_xlfn.XLOOKUP(A41,'CUSTOMERS A'!B:B,'CUSTOMERS A'!C:C,"Not Found")</f>
        <v>Enugu</v>
      </c>
      <c r="C41" t="str">
        <f>_xlfn.XLOOKUP(A41,'CUSTOMERS A'!B:B,'CUSTOMERS A'!D:D,"Not Found")</f>
        <v>Corporate</v>
      </c>
      <c r="D41" t="s">
        <v>173</v>
      </c>
      <c r="E41" t="s">
        <v>10</v>
      </c>
      <c r="F41" t="s">
        <v>11</v>
      </c>
      <c r="G41" s="19">
        <v>46188</v>
      </c>
      <c r="H41" s="2">
        <v>2</v>
      </c>
      <c r="I41" s="7">
        <v>0</v>
      </c>
      <c r="J41" t="str">
        <f>_xlfn.XLOOKUP(F41,'PRODUCTS A'!A:A,'PRODUCTS A'!B:B,"Not Found")</f>
        <v>Mouse</v>
      </c>
      <c r="K41" t="str">
        <f>_xlfn.XLOOKUP(J41,'PRODUCTS A'!B:B,'PRODUCTS A'!C:C,"Not Found")</f>
        <v>Accessories</v>
      </c>
      <c r="L41" s="9">
        <f>_xlfn.XLOOKUP(J41,'PRODUCTS A'!B:B,'PRODUCTS A'!D:D,"Not Found")</f>
        <v>8000</v>
      </c>
      <c r="M41" s="10">
        <f t="shared" ref="M41:M65" si="1">L41*H41*(1-I41)</f>
        <v>16000</v>
      </c>
    </row>
    <row r="42" spans="1:13" x14ac:dyDescent="0.25">
      <c r="A42" t="str">
        <f>_xlfn.XLOOKUP(E42,'CUSTOMERS A'!A:A,'CUSTOMERS A'!B:B,"Not Found")</f>
        <v>Ruth Daniel</v>
      </c>
      <c r="B42" t="str">
        <f>_xlfn.XLOOKUP(A42,'CUSTOMERS A'!B:B,'CUSTOMERS A'!C:C,"Not Found")</f>
        <v>Lagos</v>
      </c>
      <c r="C42" t="str">
        <f>_xlfn.XLOOKUP(A42,'CUSTOMERS A'!B:B,'CUSTOMERS A'!D:D,"Not Found")</f>
        <v>Corporate</v>
      </c>
      <c r="D42" t="s">
        <v>175</v>
      </c>
      <c r="E42" t="s">
        <v>19</v>
      </c>
      <c r="F42" t="s">
        <v>21</v>
      </c>
      <c r="G42" s="19">
        <v>46038</v>
      </c>
      <c r="H42" s="2">
        <v>3</v>
      </c>
      <c r="I42" s="7">
        <v>0.05</v>
      </c>
      <c r="J42" t="str">
        <f>_xlfn.XLOOKUP(F42,'PRODUCTS A'!A:A,'PRODUCTS A'!B:B,"Not Found")</f>
        <v>Desk</v>
      </c>
      <c r="K42" t="str">
        <f>_xlfn.XLOOKUP(J42,'PRODUCTS A'!B:B,'PRODUCTS A'!C:C,"Not Found")</f>
        <v>Furniture</v>
      </c>
      <c r="L42" s="9">
        <f>_xlfn.XLOOKUP(J42,'PRODUCTS A'!B:B,'PRODUCTS A'!D:D,"Not Found")</f>
        <v>140000</v>
      </c>
      <c r="M42" s="10">
        <f t="shared" si="1"/>
        <v>399000</v>
      </c>
    </row>
    <row r="43" spans="1:13" x14ac:dyDescent="0.25">
      <c r="A43" t="str">
        <f>_xlfn.XLOOKUP(E43,'CUSTOMERS A'!A:A,'CUSTOMERS A'!B:B,"Not Found")</f>
        <v>Daniel Okafor</v>
      </c>
      <c r="B43" t="str">
        <f>_xlfn.XLOOKUP(A43,'CUSTOMERS A'!B:B,'CUSTOMERS A'!C:C,"Not Found")</f>
        <v>Abuja</v>
      </c>
      <c r="C43" t="str">
        <f>_xlfn.XLOOKUP(A43,'CUSTOMERS A'!B:B,'CUSTOMERS A'!D:D,"Not Found")</f>
        <v>Corporate</v>
      </c>
      <c r="D43" t="s">
        <v>177</v>
      </c>
      <c r="E43" t="s">
        <v>29</v>
      </c>
      <c r="F43" t="s">
        <v>30</v>
      </c>
      <c r="G43" s="19">
        <v>46070</v>
      </c>
      <c r="H43" s="2">
        <v>4</v>
      </c>
      <c r="I43" s="7">
        <v>0</v>
      </c>
      <c r="J43" t="str">
        <f>_xlfn.XLOOKUP(F43,'PRODUCTS A'!A:A,'PRODUCTS A'!B:B,"Not Found")</f>
        <v>External Drive</v>
      </c>
      <c r="K43" t="str">
        <f>_xlfn.XLOOKUP(J43,'PRODUCTS A'!B:B,'PRODUCTS A'!C:C,"Not Found")</f>
        <v>Electronics</v>
      </c>
      <c r="L43" s="9">
        <f>_xlfn.XLOOKUP(J43,'PRODUCTS A'!B:B,'PRODUCTS A'!D:D,"Not Found")</f>
        <v>75000</v>
      </c>
      <c r="M43" s="10">
        <f t="shared" si="1"/>
        <v>300000</v>
      </c>
    </row>
    <row r="44" spans="1:13" x14ac:dyDescent="0.25">
      <c r="A44" t="str">
        <f>_xlfn.XLOOKUP(E44,'CUSTOMERS A'!A:A,'CUSTOMERS A'!B:B,"Not Found")</f>
        <v>Blessing Ojo</v>
      </c>
      <c r="B44" t="str">
        <f>_xlfn.XLOOKUP(A44,'CUSTOMERS A'!B:B,'CUSTOMERS A'!C:C,"Not Found")</f>
        <v>Lagos</v>
      </c>
      <c r="C44" t="str">
        <f>_xlfn.XLOOKUP(A44,'CUSTOMERS A'!B:B,'CUSTOMERS A'!D:D,"Not Found")</f>
        <v>Wholesale</v>
      </c>
      <c r="D44" t="s">
        <v>179</v>
      </c>
      <c r="E44" t="s">
        <v>36</v>
      </c>
      <c r="F44" t="s">
        <v>24</v>
      </c>
      <c r="G44" s="19">
        <v>46099</v>
      </c>
      <c r="H44" s="2">
        <v>5</v>
      </c>
      <c r="I44" s="7">
        <v>0.1</v>
      </c>
      <c r="J44" t="str">
        <f>_xlfn.XLOOKUP(F44,'PRODUCTS A'!A:A,'PRODUCTS A'!B:B,"Not Found")</f>
        <v>Keyboard</v>
      </c>
      <c r="K44" t="str">
        <f>_xlfn.XLOOKUP(J44,'PRODUCTS A'!B:B,'PRODUCTS A'!C:C,"Not Found")</f>
        <v>Accessories</v>
      </c>
      <c r="L44" s="9">
        <f>_xlfn.XLOOKUP(J44,'PRODUCTS A'!B:B,'PRODUCTS A'!D:D,"Not Found")</f>
        <v>15000</v>
      </c>
      <c r="M44" s="10">
        <f t="shared" si="1"/>
        <v>67500</v>
      </c>
    </row>
    <row r="45" spans="1:13" x14ac:dyDescent="0.25">
      <c r="A45" t="str">
        <f>_xlfn.XLOOKUP(E45,'CUSTOMERS A'!A:A,'CUSTOMERS A'!B:B,"Not Found")</f>
        <v>Peter Williams</v>
      </c>
      <c r="B45" t="str">
        <f>_xlfn.XLOOKUP(A45,'CUSTOMERS A'!B:B,'CUSTOMERS A'!C:C,"Not Found")</f>
        <v>Abeokuta</v>
      </c>
      <c r="C45" t="str">
        <f>_xlfn.XLOOKUP(A45,'CUSTOMERS A'!B:B,'CUSTOMERS A'!D:D,"Not Found")</f>
        <v>Retail</v>
      </c>
      <c r="D45" t="s">
        <v>181</v>
      </c>
      <c r="E45" t="s">
        <v>49</v>
      </c>
      <c r="F45" t="s">
        <v>47</v>
      </c>
      <c r="G45" s="19">
        <v>46131</v>
      </c>
      <c r="H45" s="2">
        <v>1</v>
      </c>
      <c r="I45" s="7">
        <v>0</v>
      </c>
      <c r="J45" t="str">
        <f>_xlfn.XLOOKUP(F45,'PRODUCTS A'!A:A,'PRODUCTS A'!B:B,"Not Found")</f>
        <v>Office Chair</v>
      </c>
      <c r="K45" t="str">
        <f>_xlfn.XLOOKUP(J45,'PRODUCTS A'!B:B,'PRODUCTS A'!C:C,"Not Found")</f>
        <v>Furniture</v>
      </c>
      <c r="L45" s="9">
        <f>_xlfn.XLOOKUP(J45,'PRODUCTS A'!B:B,'PRODUCTS A'!D:D,"Not Found")</f>
        <v>95000</v>
      </c>
      <c r="M45" s="10">
        <f t="shared" si="1"/>
        <v>95000</v>
      </c>
    </row>
    <row r="46" spans="1:13" x14ac:dyDescent="0.25">
      <c r="A46" t="str">
        <f>_xlfn.XLOOKUP(E46,'CUSTOMERS A'!A:A,'CUSTOMERS A'!B:B,"Not Found")</f>
        <v>Mariam Yusuf</v>
      </c>
      <c r="B46" t="str">
        <f>_xlfn.XLOOKUP(A46,'CUSTOMERS A'!B:B,'CUSTOMERS A'!C:C,"Not Found")</f>
        <v>Kano</v>
      </c>
      <c r="C46" t="str">
        <f>_xlfn.XLOOKUP(A46,'CUSTOMERS A'!B:B,'CUSTOMERS A'!D:D,"Not Found")</f>
        <v>Retail</v>
      </c>
      <c r="D46" t="s">
        <v>183</v>
      </c>
      <c r="E46" t="s">
        <v>50</v>
      </c>
      <c r="F46" t="s">
        <v>58</v>
      </c>
      <c r="G46" s="19">
        <v>46162</v>
      </c>
      <c r="H46" s="2">
        <v>2</v>
      </c>
      <c r="I46" s="7">
        <v>0</v>
      </c>
      <c r="J46" t="str">
        <f>_xlfn.XLOOKUP(F46,'PRODUCTS A'!A:A,'PRODUCTS A'!B:B,"Not Found")</f>
        <v>Tablet</v>
      </c>
      <c r="K46" t="str">
        <f>_xlfn.XLOOKUP(J46,'PRODUCTS A'!B:B,'PRODUCTS A'!C:C,"Not Found")</f>
        <v>Electronics</v>
      </c>
      <c r="L46" s="9">
        <f>_xlfn.XLOOKUP(J46,'PRODUCTS A'!B:B,'PRODUCTS A'!D:D,"Not Found")</f>
        <v>220000</v>
      </c>
      <c r="M46" s="10">
        <f t="shared" si="1"/>
        <v>440000</v>
      </c>
    </row>
    <row r="47" spans="1:13" x14ac:dyDescent="0.25">
      <c r="A47" t="str">
        <f>_xlfn.XLOOKUP(E47,'CUSTOMERS A'!A:A,'CUSTOMERS A'!B:B,"Not Found")</f>
        <v>Ibrahim Sani</v>
      </c>
      <c r="B47" t="str">
        <f>_xlfn.XLOOKUP(A47,'CUSTOMERS A'!B:B,'CUSTOMERS A'!C:C,"Not Found")</f>
        <v>Abuja</v>
      </c>
      <c r="C47" t="str">
        <f>_xlfn.XLOOKUP(A47,'CUSTOMERS A'!B:B,'CUSTOMERS A'!D:D,"Not Found")</f>
        <v>Retail</v>
      </c>
      <c r="D47" t="s">
        <v>185</v>
      </c>
      <c r="E47" t="s">
        <v>66</v>
      </c>
      <c r="F47" t="s">
        <v>17</v>
      </c>
      <c r="G47" s="19">
        <v>46194</v>
      </c>
      <c r="H47" s="2">
        <v>3</v>
      </c>
      <c r="I47" s="7">
        <v>0</v>
      </c>
      <c r="J47" t="str">
        <f>_xlfn.XLOOKUP(F47,'PRODUCTS A'!A:A,'PRODUCTS A'!B:B,"Not Found")</f>
        <v>Monitor</v>
      </c>
      <c r="K47" t="str">
        <f>_xlfn.XLOOKUP(J47,'PRODUCTS A'!B:B,'PRODUCTS A'!C:C,"Not Found")</f>
        <v>Electronics</v>
      </c>
      <c r="L47" s="9">
        <f>_xlfn.XLOOKUP(J47,'PRODUCTS A'!B:B,'PRODUCTS A'!D:D,"Not Found")</f>
        <v>180000</v>
      </c>
      <c r="M47" s="10">
        <f t="shared" si="1"/>
        <v>540000</v>
      </c>
    </row>
    <row r="48" spans="1:13" x14ac:dyDescent="0.25">
      <c r="A48" t="str">
        <f>_xlfn.XLOOKUP(E48,'CUSTOMERS A'!A:A,'CUSTOMERS A'!B:B,"Not Found")</f>
        <v>Hauwa Ali</v>
      </c>
      <c r="B48" t="str">
        <f>_xlfn.XLOOKUP(A48,'CUSTOMERS A'!B:B,'CUSTOMERS A'!C:C,"Not Found")</f>
        <v>Kano</v>
      </c>
      <c r="C48" t="str">
        <f>_xlfn.XLOOKUP(A48,'CUSTOMERS A'!B:B,'CUSTOMERS A'!D:D,"Not Found")</f>
        <v>Corporate</v>
      </c>
      <c r="D48" t="s">
        <v>187</v>
      </c>
      <c r="E48" t="s">
        <v>75</v>
      </c>
      <c r="F48" t="s">
        <v>40</v>
      </c>
      <c r="G48" s="19">
        <v>46044</v>
      </c>
      <c r="H48" s="2">
        <v>4</v>
      </c>
      <c r="I48" s="7">
        <v>0</v>
      </c>
      <c r="J48" t="str">
        <f>_xlfn.XLOOKUP(F48,'PRODUCTS A'!A:A,'PRODUCTS A'!B:B,"Not Found")</f>
        <v>Printer</v>
      </c>
      <c r="K48" t="str">
        <f>_xlfn.XLOOKUP(J48,'PRODUCTS A'!B:B,'PRODUCTS A'!C:C,"Not Found")</f>
        <v>Office Equipment</v>
      </c>
      <c r="L48" s="9">
        <f>_xlfn.XLOOKUP(J48,'PRODUCTS A'!B:B,'PRODUCTS A'!D:D,"Not Found")</f>
        <v>120000</v>
      </c>
      <c r="M48" s="10">
        <f t="shared" si="1"/>
        <v>480000</v>
      </c>
    </row>
    <row r="49" spans="1:13" x14ac:dyDescent="0.25">
      <c r="A49" t="str">
        <f>_xlfn.XLOOKUP(E49,'CUSTOMERS A'!A:A,'CUSTOMERS A'!B:B,"Not Found")</f>
        <v>Chinedu Obi</v>
      </c>
      <c r="B49" t="str">
        <f>_xlfn.XLOOKUP(A49,'CUSTOMERS A'!B:B,'CUSTOMERS A'!C:C,"Not Found")</f>
        <v>Port Harcourt</v>
      </c>
      <c r="C49" t="str">
        <f>_xlfn.XLOOKUP(A49,'CUSTOMERS A'!B:B,'CUSTOMERS A'!D:D,"Not Found")</f>
        <v>Corporate</v>
      </c>
      <c r="D49" t="s">
        <v>189</v>
      </c>
      <c r="E49" t="s">
        <v>57</v>
      </c>
      <c r="F49" t="s">
        <v>62</v>
      </c>
      <c r="G49" s="19">
        <v>46076</v>
      </c>
      <c r="H49" s="2">
        <v>5</v>
      </c>
      <c r="I49" s="7">
        <v>0.05</v>
      </c>
      <c r="J49" t="str">
        <f>_xlfn.XLOOKUP(F49,'PRODUCTS A'!A:A,'PRODUCTS A'!B:B,"Not Found")</f>
        <v>Headset</v>
      </c>
      <c r="K49" t="str">
        <f>_xlfn.XLOOKUP(J49,'PRODUCTS A'!B:B,'PRODUCTS A'!C:C,"Not Found")</f>
        <v>Accessories</v>
      </c>
      <c r="L49" s="9">
        <f>_xlfn.XLOOKUP(J49,'PRODUCTS A'!B:B,'PRODUCTS A'!D:D,"Not Found")</f>
        <v>25000</v>
      </c>
      <c r="M49" s="10">
        <f t="shared" si="1"/>
        <v>118750</v>
      </c>
    </row>
    <row r="50" spans="1:13" x14ac:dyDescent="0.25">
      <c r="A50" t="str">
        <f>_xlfn.XLOOKUP(E50,'CUSTOMERS A'!A:A,'CUSTOMERS A'!B:B,"Not Found")</f>
        <v>Esther James</v>
      </c>
      <c r="B50" t="str">
        <f>_xlfn.XLOOKUP(A50,'CUSTOMERS A'!B:B,'CUSTOMERS A'!C:C,"Not Found")</f>
        <v>Warri</v>
      </c>
      <c r="C50" t="str">
        <f>_xlfn.XLOOKUP(A50,'CUSTOMERS A'!B:B,'CUSTOMERS A'!D:D,"Not Found")</f>
        <v>Retail</v>
      </c>
      <c r="D50" t="s">
        <v>191</v>
      </c>
      <c r="E50" t="s">
        <v>94</v>
      </c>
      <c r="F50" t="s">
        <v>12</v>
      </c>
      <c r="G50" s="19">
        <v>46105</v>
      </c>
      <c r="H50" s="2">
        <v>1</v>
      </c>
      <c r="I50" s="7">
        <v>0</v>
      </c>
      <c r="J50" t="str">
        <f>_xlfn.XLOOKUP(F50,'PRODUCTS A'!A:A,'PRODUCTS A'!B:B,"Not Found")</f>
        <v>Laptop</v>
      </c>
      <c r="K50" t="str">
        <f>_xlfn.XLOOKUP(J50,'PRODUCTS A'!B:B,'PRODUCTS A'!C:C,"Not Found")</f>
        <v>Electronics</v>
      </c>
      <c r="L50" s="9">
        <f>_xlfn.XLOOKUP(J50,'PRODUCTS A'!B:B,'PRODUCTS A'!D:D,"Not Found")</f>
        <v>450000</v>
      </c>
      <c r="M50" s="10">
        <f t="shared" si="1"/>
        <v>450000</v>
      </c>
    </row>
    <row r="51" spans="1:13" x14ac:dyDescent="0.25">
      <c r="A51" t="str">
        <f>_xlfn.XLOOKUP(E51,'CUSTOMERS A'!A:A,'CUSTOMERS A'!B:B,"Not Found")</f>
        <v>Kelvin George</v>
      </c>
      <c r="B51" t="str">
        <f>_xlfn.XLOOKUP(A51,'CUSTOMERS A'!B:B,'CUSTOMERS A'!C:C,"Not Found")</f>
        <v>Port Harcourt</v>
      </c>
      <c r="C51" t="str">
        <f>_xlfn.XLOOKUP(A51,'CUSTOMERS A'!B:B,'CUSTOMERS A'!D:D,"Not Found")</f>
        <v>Retail</v>
      </c>
      <c r="D51" t="s">
        <v>193</v>
      </c>
      <c r="E51" t="s">
        <v>91</v>
      </c>
      <c r="F51" t="s">
        <v>11</v>
      </c>
      <c r="G51" s="19">
        <v>46137</v>
      </c>
      <c r="H51" s="2">
        <v>2</v>
      </c>
      <c r="I51" s="7">
        <v>0</v>
      </c>
      <c r="J51" t="str">
        <f>_xlfn.XLOOKUP(F51,'PRODUCTS A'!A:A,'PRODUCTS A'!B:B,"Not Found")</f>
        <v>Mouse</v>
      </c>
      <c r="K51" t="str">
        <f>_xlfn.XLOOKUP(J51,'PRODUCTS A'!B:B,'PRODUCTS A'!C:C,"Not Found")</f>
        <v>Accessories</v>
      </c>
      <c r="L51" s="9">
        <f>_xlfn.XLOOKUP(J51,'PRODUCTS A'!B:B,'PRODUCTS A'!D:D,"Not Found")</f>
        <v>8000</v>
      </c>
      <c r="M51" s="10">
        <f t="shared" si="1"/>
        <v>16000</v>
      </c>
    </row>
    <row r="52" spans="1:13" x14ac:dyDescent="0.25">
      <c r="A52" t="str">
        <f>_xlfn.XLOOKUP(E52,'CUSTOMERS A'!A:A,'CUSTOMERS A'!B:B,"Not Found")</f>
        <v>Grace Eze</v>
      </c>
      <c r="B52" t="str">
        <f>_xlfn.XLOOKUP(A52,'CUSTOMERS A'!B:B,'CUSTOMERS A'!C:C,"Not Found")</f>
        <v>Benin City</v>
      </c>
      <c r="C52" t="str">
        <f>_xlfn.XLOOKUP(A52,'CUSTOMERS A'!B:B,'CUSTOMERS A'!D:D,"Not Found")</f>
        <v>Retail</v>
      </c>
      <c r="D52" t="s">
        <v>195</v>
      </c>
      <c r="E52" t="s">
        <v>65</v>
      </c>
      <c r="F52" t="s">
        <v>21</v>
      </c>
      <c r="G52" s="19">
        <v>46168</v>
      </c>
      <c r="H52" s="2">
        <v>3</v>
      </c>
      <c r="I52" s="7">
        <v>0</v>
      </c>
      <c r="J52" t="str">
        <f>_xlfn.XLOOKUP(F52,'PRODUCTS A'!A:A,'PRODUCTS A'!B:B,"Not Found")</f>
        <v>Desk</v>
      </c>
      <c r="K52" t="str">
        <f>_xlfn.XLOOKUP(J52,'PRODUCTS A'!B:B,'PRODUCTS A'!C:C,"Not Found")</f>
        <v>Furniture</v>
      </c>
      <c r="L52" s="9">
        <f>_xlfn.XLOOKUP(J52,'PRODUCTS A'!B:B,'PRODUCTS A'!D:D,"Not Found")</f>
        <v>140000</v>
      </c>
      <c r="M52" s="10">
        <f t="shared" si="1"/>
        <v>420000</v>
      </c>
    </row>
    <row r="53" spans="1:13" x14ac:dyDescent="0.25">
      <c r="A53" t="str">
        <f>_xlfn.XLOOKUP(E53,'CUSTOMERS A'!A:A,'CUSTOMERS A'!B:B,"Not Found")</f>
        <v>David Umeh</v>
      </c>
      <c r="B53" t="str">
        <f>_xlfn.XLOOKUP(A53,'CUSTOMERS A'!B:B,'CUSTOMERS A'!C:C,"Not Found")</f>
        <v>Asaba</v>
      </c>
      <c r="C53" t="str">
        <f>_xlfn.XLOOKUP(A53,'CUSTOMERS A'!B:B,'CUSTOMERS A'!D:D,"Not Found")</f>
        <v>Corporate</v>
      </c>
      <c r="D53" t="s">
        <v>197</v>
      </c>
      <c r="E53" t="s">
        <v>98</v>
      </c>
      <c r="F53" t="s">
        <v>30</v>
      </c>
      <c r="G53" s="19">
        <v>46200</v>
      </c>
      <c r="H53" s="2">
        <v>4</v>
      </c>
      <c r="I53" s="7">
        <v>0</v>
      </c>
      <c r="J53" t="str">
        <f>_xlfn.XLOOKUP(F53,'PRODUCTS A'!A:A,'PRODUCTS A'!B:B,"Not Found")</f>
        <v>External Drive</v>
      </c>
      <c r="K53" t="str">
        <f>_xlfn.XLOOKUP(J53,'PRODUCTS A'!B:B,'PRODUCTS A'!C:C,"Not Found")</f>
        <v>Electronics</v>
      </c>
      <c r="L53" s="9">
        <f>_xlfn.XLOOKUP(J53,'PRODUCTS A'!B:B,'PRODUCTS A'!D:D,"Not Found")</f>
        <v>75000</v>
      </c>
      <c r="M53" s="10">
        <f t="shared" si="1"/>
        <v>300000</v>
      </c>
    </row>
    <row r="54" spans="1:13" x14ac:dyDescent="0.25">
      <c r="A54" t="str">
        <f>_xlfn.XLOOKUP(E54,'CUSTOMERS A'!A:A,'CUSTOMERS A'!B:B,"Not Found")</f>
        <v>Mercy John</v>
      </c>
      <c r="B54" t="str">
        <f>_xlfn.XLOOKUP(A54,'CUSTOMERS A'!B:B,'CUSTOMERS A'!C:C,"Not Found")</f>
        <v>Benin City</v>
      </c>
      <c r="C54" t="str">
        <f>_xlfn.XLOOKUP(A54,'CUSTOMERS A'!B:B,'CUSTOMERS A'!D:D,"Not Found")</f>
        <v>Wholesale</v>
      </c>
      <c r="D54" t="s">
        <v>199</v>
      </c>
      <c r="E54" t="s">
        <v>107</v>
      </c>
      <c r="F54" t="s">
        <v>24</v>
      </c>
      <c r="G54" s="19">
        <v>46023</v>
      </c>
      <c r="H54" s="2">
        <v>5</v>
      </c>
      <c r="I54" s="7">
        <v>0</v>
      </c>
      <c r="J54" t="str">
        <f>_xlfn.XLOOKUP(F54,'PRODUCTS A'!A:A,'PRODUCTS A'!B:B,"Not Found")</f>
        <v>Keyboard</v>
      </c>
      <c r="K54" t="str">
        <f>_xlfn.XLOOKUP(J54,'PRODUCTS A'!B:B,'PRODUCTS A'!C:C,"Not Found")</f>
        <v>Accessories</v>
      </c>
      <c r="L54" s="9">
        <f>_xlfn.XLOOKUP(J54,'PRODUCTS A'!B:B,'PRODUCTS A'!D:D,"Not Found")</f>
        <v>15000</v>
      </c>
      <c r="M54" s="10">
        <f t="shared" si="1"/>
        <v>75000</v>
      </c>
    </row>
    <row r="55" spans="1:13" x14ac:dyDescent="0.25">
      <c r="A55" t="str">
        <f>_xlfn.XLOOKUP(E55,'CUSTOMERS A'!A:A,'CUSTOMERS A'!B:B,"Not Found")</f>
        <v>Samuel Adeyemi</v>
      </c>
      <c r="B55" t="str">
        <f>_xlfn.XLOOKUP(A55,'CUSTOMERS A'!B:B,'CUSTOMERS A'!C:C,"Not Found")</f>
        <v>Ibadan</v>
      </c>
      <c r="C55" t="str">
        <f>_xlfn.XLOOKUP(A55,'CUSTOMERS A'!B:B,'CUSTOMERS A'!D:D,"Not Found")</f>
        <v>Wholesale</v>
      </c>
      <c r="D55" t="s">
        <v>201</v>
      </c>
      <c r="E55" t="s">
        <v>71</v>
      </c>
      <c r="F55" t="s">
        <v>47</v>
      </c>
      <c r="G55" s="19">
        <v>46055</v>
      </c>
      <c r="H55" s="2">
        <v>1</v>
      </c>
      <c r="I55" s="7">
        <v>0.1</v>
      </c>
      <c r="J55" t="str">
        <f>_xlfn.XLOOKUP(F55,'PRODUCTS A'!A:A,'PRODUCTS A'!B:B,"Not Found")</f>
        <v>Office Chair</v>
      </c>
      <c r="K55" t="str">
        <f>_xlfn.XLOOKUP(J55,'PRODUCTS A'!B:B,'PRODUCTS A'!C:C,"Not Found")</f>
        <v>Furniture</v>
      </c>
      <c r="L55" s="9">
        <f>_xlfn.XLOOKUP(J55,'PRODUCTS A'!B:B,'PRODUCTS A'!D:D,"Not Found")</f>
        <v>95000</v>
      </c>
      <c r="M55" s="10">
        <f t="shared" si="1"/>
        <v>85500</v>
      </c>
    </row>
    <row r="56" spans="1:13" x14ac:dyDescent="0.25">
      <c r="A56" t="str">
        <f>_xlfn.XLOOKUP(E56,'CUSTOMERS A'!A:A,'CUSTOMERS A'!B:B,"Not Found")</f>
        <v>Joy Akpan</v>
      </c>
      <c r="B56" t="str">
        <f>_xlfn.XLOOKUP(A56,'CUSTOMERS A'!B:B,'CUSTOMERS A'!C:C,"Not Found")</f>
        <v>Uyo</v>
      </c>
      <c r="C56" t="str">
        <f>_xlfn.XLOOKUP(A56,'CUSTOMERS A'!B:B,'CUSTOMERS A'!D:D,"Not Found")</f>
        <v>Retail</v>
      </c>
      <c r="D56" t="s">
        <v>202</v>
      </c>
      <c r="E56" t="s">
        <v>103</v>
      </c>
      <c r="F56" t="s">
        <v>58</v>
      </c>
      <c r="G56" s="19">
        <v>46084</v>
      </c>
      <c r="H56" s="2">
        <v>2</v>
      </c>
      <c r="I56" s="7">
        <v>0.05</v>
      </c>
      <c r="J56" t="str">
        <f>_xlfn.XLOOKUP(F56,'PRODUCTS A'!A:A,'PRODUCTS A'!B:B,"Not Found")</f>
        <v>Tablet</v>
      </c>
      <c r="K56" t="str">
        <f>_xlfn.XLOOKUP(J56,'PRODUCTS A'!B:B,'PRODUCTS A'!C:C,"Not Found")</f>
        <v>Electronics</v>
      </c>
      <c r="L56" s="9">
        <f>_xlfn.XLOOKUP(J56,'PRODUCTS A'!B:B,'PRODUCTS A'!D:D,"Not Found")</f>
        <v>220000</v>
      </c>
      <c r="M56" s="10">
        <f t="shared" si="1"/>
        <v>418000</v>
      </c>
    </row>
    <row r="57" spans="1:13" x14ac:dyDescent="0.25">
      <c r="A57" t="str">
        <f>_xlfn.XLOOKUP(E57,'CUSTOMERS A'!A:A,'CUSTOMERS A'!B:B,"Not Found")</f>
        <v>Tunde Adebayo</v>
      </c>
      <c r="B57" t="str">
        <f>_xlfn.XLOOKUP(A57,'CUSTOMERS A'!B:B,'CUSTOMERS A'!C:C,"Not Found")</f>
        <v>Ibadan</v>
      </c>
      <c r="C57" t="str">
        <f>_xlfn.XLOOKUP(A57,'CUSTOMERS A'!B:B,'CUSTOMERS A'!D:D,"Not Found")</f>
        <v>Corporate</v>
      </c>
      <c r="D57" t="s">
        <v>203</v>
      </c>
      <c r="E57" t="s">
        <v>121</v>
      </c>
      <c r="F57" t="s">
        <v>17</v>
      </c>
      <c r="G57" s="19">
        <v>46116</v>
      </c>
      <c r="H57" s="2">
        <v>3</v>
      </c>
      <c r="I57" s="7">
        <v>0</v>
      </c>
      <c r="J57" t="str">
        <f>_xlfn.XLOOKUP(F57,'PRODUCTS A'!A:A,'PRODUCTS A'!B:B,"Not Found")</f>
        <v>Monitor</v>
      </c>
      <c r="K57" t="str">
        <f>_xlfn.XLOOKUP(J57,'PRODUCTS A'!B:B,'PRODUCTS A'!C:C,"Not Found")</f>
        <v>Electronics</v>
      </c>
      <c r="L57" s="9">
        <f>_xlfn.XLOOKUP(J57,'PRODUCTS A'!B:B,'PRODUCTS A'!D:D,"Not Found")</f>
        <v>180000</v>
      </c>
      <c r="M57" s="10">
        <f t="shared" si="1"/>
        <v>540000</v>
      </c>
    </row>
    <row r="58" spans="1:13" x14ac:dyDescent="0.25">
      <c r="A58" t="str">
        <f>_xlfn.XLOOKUP(E58,'CUSTOMERS A'!A:A,'CUSTOMERS A'!B:B,"Not Found")</f>
        <v>Fatima Musa</v>
      </c>
      <c r="B58" t="str">
        <f>_xlfn.XLOOKUP(A58,'CUSTOMERS A'!B:B,'CUSTOMERS A'!C:C,"Not Found")</f>
        <v>Kaduna</v>
      </c>
      <c r="C58" t="str">
        <f>_xlfn.XLOOKUP(A58,'CUSTOMERS A'!B:B,'CUSTOMERS A'!D:D,"Not Found")</f>
        <v>Retail</v>
      </c>
      <c r="D58" t="s">
        <v>204</v>
      </c>
      <c r="E58" t="s">
        <v>79</v>
      </c>
      <c r="F58" t="s">
        <v>40</v>
      </c>
      <c r="G58" s="19">
        <v>46147</v>
      </c>
      <c r="H58" s="2">
        <v>4</v>
      </c>
      <c r="I58" s="7">
        <v>0</v>
      </c>
      <c r="J58" t="str">
        <f>_xlfn.XLOOKUP(F58,'PRODUCTS A'!A:A,'PRODUCTS A'!B:B,"Not Found")</f>
        <v>Printer</v>
      </c>
      <c r="K58" t="str">
        <f>_xlfn.XLOOKUP(J58,'PRODUCTS A'!B:B,'PRODUCTS A'!C:C,"Not Found")</f>
        <v>Office Equipment</v>
      </c>
      <c r="L58" s="9">
        <f>_xlfn.XLOOKUP(J58,'PRODUCTS A'!B:B,'PRODUCTS A'!D:D,"Not Found")</f>
        <v>120000</v>
      </c>
      <c r="M58" s="10">
        <f t="shared" si="1"/>
        <v>480000</v>
      </c>
    </row>
    <row r="59" spans="1:13" x14ac:dyDescent="0.25">
      <c r="A59" t="str">
        <f>_xlfn.XLOOKUP(E59,'CUSTOMERS A'!A:A,'CUSTOMERS A'!B:B,"Not Found")</f>
        <v>Michael Joseph</v>
      </c>
      <c r="B59" t="str">
        <f>_xlfn.XLOOKUP(A59,'CUSTOMERS A'!B:B,'CUSTOMERS A'!C:C,"Not Found")</f>
        <v>Calabar</v>
      </c>
      <c r="C59" t="str">
        <f>_xlfn.XLOOKUP(A59,'CUSTOMERS A'!B:B,'CUSTOMERS A'!D:D,"Not Found")</f>
        <v>Wholesale</v>
      </c>
      <c r="D59" t="s">
        <v>205</v>
      </c>
      <c r="E59" t="s">
        <v>109</v>
      </c>
      <c r="F59" t="s">
        <v>62</v>
      </c>
      <c r="G59" s="19">
        <v>46179</v>
      </c>
      <c r="H59" s="2">
        <v>5</v>
      </c>
      <c r="I59" s="7">
        <v>0</v>
      </c>
      <c r="J59" t="str">
        <f>_xlfn.XLOOKUP(F59,'PRODUCTS A'!A:A,'PRODUCTS A'!B:B,"Not Found")</f>
        <v>Headset</v>
      </c>
      <c r="K59" t="str">
        <f>_xlfn.XLOOKUP(J59,'PRODUCTS A'!B:B,'PRODUCTS A'!C:C,"Not Found")</f>
        <v>Accessories</v>
      </c>
      <c r="L59" s="9">
        <f>_xlfn.XLOOKUP(J59,'PRODUCTS A'!B:B,'PRODUCTS A'!D:D,"Not Found")</f>
        <v>25000</v>
      </c>
      <c r="M59" s="10">
        <f t="shared" si="1"/>
        <v>125000</v>
      </c>
    </row>
    <row r="60" spans="1:13" x14ac:dyDescent="0.25">
      <c r="A60" t="str">
        <f>_xlfn.XLOOKUP(E60,'CUSTOMERS A'!A:A,'CUSTOMERS A'!B:B,"Not Found")</f>
        <v>Aisha Bello</v>
      </c>
      <c r="B60" t="str">
        <f>_xlfn.XLOOKUP(A60,'CUSTOMERS A'!B:B,'CUSTOMERS A'!C:C,"Not Found")</f>
        <v>Lagos</v>
      </c>
      <c r="C60" t="str">
        <f>_xlfn.XLOOKUP(A60,'CUSTOMERS A'!B:B,'CUSTOMERS A'!D:D,"Not Found")</f>
        <v>Retail</v>
      </c>
      <c r="D60" t="s">
        <v>206</v>
      </c>
      <c r="E60" t="s">
        <v>32</v>
      </c>
      <c r="F60" t="s">
        <v>12</v>
      </c>
      <c r="G60" s="19">
        <v>46029</v>
      </c>
      <c r="H60" s="2">
        <v>1</v>
      </c>
      <c r="I60" s="7">
        <v>0</v>
      </c>
      <c r="J60" t="str">
        <f>_xlfn.XLOOKUP(F60,'PRODUCTS A'!A:A,'PRODUCTS A'!B:B,"Not Found")</f>
        <v>Laptop</v>
      </c>
      <c r="K60" t="str">
        <f>_xlfn.XLOOKUP(J60,'PRODUCTS A'!B:B,'PRODUCTS A'!C:C,"Not Found")</f>
        <v>Electronics</v>
      </c>
      <c r="L60" s="9">
        <f>_xlfn.XLOOKUP(J60,'PRODUCTS A'!B:B,'PRODUCTS A'!D:D,"Not Found")</f>
        <v>450000</v>
      </c>
      <c r="M60" s="10">
        <f t="shared" si="1"/>
        <v>450000</v>
      </c>
    </row>
    <row r="61" spans="1:13" x14ac:dyDescent="0.25">
      <c r="A61" t="str">
        <f>_xlfn.XLOOKUP(E61,'CUSTOMERS A'!A:A,'CUSTOMERS A'!B:B,"Not Found")</f>
        <v>Emeka Nwosu</v>
      </c>
      <c r="B61" t="str">
        <f>_xlfn.XLOOKUP(A61,'CUSTOMERS A'!B:B,'CUSTOMERS A'!C:C,"Not Found")</f>
        <v>Enugu</v>
      </c>
      <c r="C61" t="str">
        <f>_xlfn.XLOOKUP(A61,'CUSTOMERS A'!B:B,'CUSTOMERS A'!D:D,"Not Found")</f>
        <v>Corporate</v>
      </c>
      <c r="D61" t="s">
        <v>207</v>
      </c>
      <c r="E61" t="s">
        <v>10</v>
      </c>
      <c r="F61" t="s">
        <v>11</v>
      </c>
      <c r="G61" s="19">
        <v>46061</v>
      </c>
      <c r="H61" s="2">
        <v>2</v>
      </c>
      <c r="I61" s="7">
        <v>0</v>
      </c>
      <c r="J61" t="str">
        <f>_xlfn.XLOOKUP(F61,'PRODUCTS A'!A:A,'PRODUCTS A'!B:B,"Not Found")</f>
        <v>Mouse</v>
      </c>
      <c r="K61" t="str">
        <f>_xlfn.XLOOKUP(J61,'PRODUCTS A'!B:B,'PRODUCTS A'!C:C,"Not Found")</f>
        <v>Accessories</v>
      </c>
      <c r="L61" s="9">
        <f>_xlfn.XLOOKUP(J61,'PRODUCTS A'!B:B,'PRODUCTS A'!D:D,"Not Found")</f>
        <v>8000</v>
      </c>
      <c r="M61" s="10">
        <f t="shared" si="1"/>
        <v>16000</v>
      </c>
    </row>
    <row r="62" spans="1:13" x14ac:dyDescent="0.25">
      <c r="A62" t="str">
        <f>_xlfn.XLOOKUP(E62,'CUSTOMERS A'!A:A,'CUSTOMERS A'!B:B,"Not Found")</f>
        <v>Ruth Daniel</v>
      </c>
      <c r="B62" t="str">
        <f>_xlfn.XLOOKUP(A62,'CUSTOMERS A'!B:B,'CUSTOMERS A'!C:C,"Not Found")</f>
        <v>Lagos</v>
      </c>
      <c r="C62" t="str">
        <f>_xlfn.XLOOKUP(A62,'CUSTOMERS A'!B:B,'CUSTOMERS A'!D:D,"Not Found")</f>
        <v>Corporate</v>
      </c>
      <c r="D62" t="s">
        <v>208</v>
      </c>
      <c r="E62" t="s">
        <v>19</v>
      </c>
      <c r="F62" t="s">
        <v>21</v>
      </c>
      <c r="G62" s="19">
        <v>46090</v>
      </c>
      <c r="H62" s="2">
        <v>3</v>
      </c>
      <c r="I62" s="7">
        <v>0</v>
      </c>
      <c r="J62" t="str">
        <f>_xlfn.XLOOKUP(F62,'PRODUCTS A'!A:A,'PRODUCTS A'!B:B,"Not Found")</f>
        <v>Desk</v>
      </c>
      <c r="K62" t="str">
        <f>_xlfn.XLOOKUP(J62,'PRODUCTS A'!B:B,'PRODUCTS A'!C:C,"Not Found")</f>
        <v>Furniture</v>
      </c>
      <c r="L62" s="9">
        <f>_xlfn.XLOOKUP(J62,'PRODUCTS A'!B:B,'PRODUCTS A'!D:D,"Not Found")</f>
        <v>140000</v>
      </c>
      <c r="M62" s="10">
        <f t="shared" si="1"/>
        <v>420000</v>
      </c>
    </row>
    <row r="63" spans="1:13" x14ac:dyDescent="0.25">
      <c r="A63" t="str">
        <f>_xlfn.XLOOKUP(E63,'CUSTOMERS A'!A:A,'CUSTOMERS A'!B:B,"Not Found")</f>
        <v>Daniel Okafor</v>
      </c>
      <c r="B63" t="str">
        <f>_xlfn.XLOOKUP(A63,'CUSTOMERS A'!B:B,'CUSTOMERS A'!C:C,"Not Found")</f>
        <v>Abuja</v>
      </c>
      <c r="C63" t="str">
        <f>_xlfn.XLOOKUP(A63,'CUSTOMERS A'!B:B,'CUSTOMERS A'!D:D,"Not Found")</f>
        <v>Corporate</v>
      </c>
      <c r="D63" t="s">
        <v>209</v>
      </c>
      <c r="E63" t="s">
        <v>29</v>
      </c>
      <c r="F63" t="s">
        <v>30</v>
      </c>
      <c r="G63" s="19">
        <v>46122</v>
      </c>
      <c r="H63" s="2">
        <v>4</v>
      </c>
      <c r="I63" s="7">
        <v>0.05</v>
      </c>
      <c r="J63" t="str">
        <f>_xlfn.XLOOKUP(F63,'PRODUCTS A'!A:A,'PRODUCTS A'!B:B,"Not Found")</f>
        <v>External Drive</v>
      </c>
      <c r="K63" t="str">
        <f>_xlfn.XLOOKUP(J63,'PRODUCTS A'!B:B,'PRODUCTS A'!C:C,"Not Found")</f>
        <v>Electronics</v>
      </c>
      <c r="L63" s="9">
        <f>_xlfn.XLOOKUP(J63,'PRODUCTS A'!B:B,'PRODUCTS A'!D:D,"Not Found")</f>
        <v>75000</v>
      </c>
      <c r="M63" s="10">
        <f t="shared" si="1"/>
        <v>285000</v>
      </c>
    </row>
    <row r="64" spans="1:13" x14ac:dyDescent="0.25">
      <c r="A64" t="str">
        <f>_xlfn.XLOOKUP(E64,'CUSTOMERS A'!A:A,'CUSTOMERS A'!B:B,"Not Found")</f>
        <v>Blessing Ojo</v>
      </c>
      <c r="B64" t="str">
        <f>_xlfn.XLOOKUP(A64,'CUSTOMERS A'!B:B,'CUSTOMERS A'!C:C,"Not Found")</f>
        <v>Lagos</v>
      </c>
      <c r="C64" t="str">
        <f>_xlfn.XLOOKUP(A64,'CUSTOMERS A'!B:B,'CUSTOMERS A'!D:D,"Not Found")</f>
        <v>Wholesale</v>
      </c>
      <c r="D64" t="s">
        <v>210</v>
      </c>
      <c r="E64" t="s">
        <v>36</v>
      </c>
      <c r="F64" t="s">
        <v>24</v>
      </c>
      <c r="G64" s="19">
        <v>46153</v>
      </c>
      <c r="H64" s="2">
        <v>5</v>
      </c>
      <c r="I64" s="7">
        <v>0</v>
      </c>
      <c r="J64" t="str">
        <f>_xlfn.XLOOKUP(F64,'PRODUCTS A'!A:A,'PRODUCTS A'!B:B,"Not Found")</f>
        <v>Keyboard</v>
      </c>
      <c r="K64" t="str">
        <f>_xlfn.XLOOKUP(J64,'PRODUCTS A'!B:B,'PRODUCTS A'!C:C,"Not Found")</f>
        <v>Accessories</v>
      </c>
      <c r="L64" s="9">
        <f>_xlfn.XLOOKUP(J64,'PRODUCTS A'!B:B,'PRODUCTS A'!D:D,"Not Found")</f>
        <v>15000</v>
      </c>
      <c r="M64" s="10">
        <f t="shared" si="1"/>
        <v>75000</v>
      </c>
    </row>
    <row r="65" spans="1:13" x14ac:dyDescent="0.25">
      <c r="A65" t="str">
        <f>_xlfn.XLOOKUP(E65,'CUSTOMERS A'!A:A,'CUSTOMERS A'!B:B,"Not Found")</f>
        <v>Peter Williams</v>
      </c>
      <c r="B65" t="str">
        <f>_xlfn.XLOOKUP(A65,'CUSTOMERS A'!B:B,'CUSTOMERS A'!C:C,"Not Found")</f>
        <v>Abeokuta</v>
      </c>
      <c r="C65" t="str">
        <f>_xlfn.XLOOKUP(A65,'CUSTOMERS A'!B:B,'CUSTOMERS A'!D:D,"Not Found")</f>
        <v>Retail</v>
      </c>
      <c r="D65" t="s">
        <v>211</v>
      </c>
      <c r="E65" t="s">
        <v>49</v>
      </c>
      <c r="F65" t="s">
        <v>47</v>
      </c>
      <c r="G65" s="19">
        <v>46185</v>
      </c>
      <c r="H65" s="2">
        <v>1</v>
      </c>
      <c r="I65" s="7">
        <v>0</v>
      </c>
      <c r="J65" t="str">
        <f>_xlfn.XLOOKUP(F65,'PRODUCTS A'!A:A,'PRODUCTS A'!B:B,"Not Found")</f>
        <v>Office Chair</v>
      </c>
      <c r="K65" t="str">
        <f>_xlfn.XLOOKUP(J65,'PRODUCTS A'!B:B,'PRODUCTS A'!C:C,"Not Found")</f>
        <v>Furniture</v>
      </c>
      <c r="L65" s="9">
        <f>_xlfn.XLOOKUP(J65,'PRODUCTS A'!B:B,'PRODUCTS A'!D:D,"Not Found")</f>
        <v>95000</v>
      </c>
      <c r="M65" s="10">
        <f t="shared" si="1"/>
        <v>95000</v>
      </c>
    </row>
    <row r="66" spans="1:13" x14ac:dyDescent="0.25">
      <c r="A66" t="str">
        <f>_xlfn.XLOOKUP(E66,'CUSTOMERS A'!A:A,'CUSTOMERS A'!B:B,"Not Found")</f>
        <v>Mariam Yusuf</v>
      </c>
      <c r="B66" t="str">
        <f>_xlfn.XLOOKUP(A66,'CUSTOMERS A'!B:B,'CUSTOMERS A'!C:C,"Not Found")</f>
        <v>Kano</v>
      </c>
      <c r="C66" t="str">
        <f>_xlfn.XLOOKUP(A66,'CUSTOMERS A'!B:B,'CUSTOMERS A'!D:D,"Not Found")</f>
        <v>Retail</v>
      </c>
      <c r="D66" t="s">
        <v>212</v>
      </c>
      <c r="E66" t="s">
        <v>50</v>
      </c>
      <c r="F66" t="s">
        <v>58</v>
      </c>
      <c r="G66" s="19">
        <v>46035</v>
      </c>
      <c r="H66" s="2">
        <v>2</v>
      </c>
      <c r="I66" s="7">
        <v>0.1</v>
      </c>
      <c r="J66" t="str">
        <f>_xlfn.XLOOKUP(F66,'PRODUCTS A'!A:A,'PRODUCTS A'!B:B,"Not Found")</f>
        <v>Tablet</v>
      </c>
      <c r="K66" t="str">
        <f>_xlfn.XLOOKUP(J66,'PRODUCTS A'!B:B,'PRODUCTS A'!C:C,"Not Found")</f>
        <v>Electronics</v>
      </c>
      <c r="L66" s="9">
        <f>_xlfn.XLOOKUP(J66,'PRODUCTS A'!B:B,'PRODUCTS A'!D:D,"Not Found")</f>
        <v>220000</v>
      </c>
      <c r="M66" s="10">
        <f t="shared" ref="M66:M79" si="2">L66*H66*(1-I66)</f>
        <v>396000</v>
      </c>
    </row>
    <row r="67" spans="1:13" x14ac:dyDescent="0.25">
      <c r="A67" t="str">
        <f>_xlfn.XLOOKUP(E67,'CUSTOMERS A'!A:A,'CUSTOMERS A'!B:B,"Not Found")</f>
        <v>Ibrahim Sani</v>
      </c>
      <c r="B67" t="str">
        <f>_xlfn.XLOOKUP(A67,'CUSTOMERS A'!B:B,'CUSTOMERS A'!C:C,"Not Found")</f>
        <v>Abuja</v>
      </c>
      <c r="C67" t="str">
        <f>_xlfn.XLOOKUP(A67,'CUSTOMERS A'!B:B,'CUSTOMERS A'!D:D,"Not Found")</f>
        <v>Retail</v>
      </c>
      <c r="D67" t="s">
        <v>213</v>
      </c>
      <c r="E67" t="s">
        <v>66</v>
      </c>
      <c r="F67" t="s">
        <v>17</v>
      </c>
      <c r="G67" s="19">
        <v>46067</v>
      </c>
      <c r="H67" s="2">
        <v>3</v>
      </c>
      <c r="I67" s="7">
        <v>0</v>
      </c>
      <c r="J67" t="str">
        <f>_xlfn.XLOOKUP(F67,'PRODUCTS A'!A:A,'PRODUCTS A'!B:B,"Not Found")</f>
        <v>Monitor</v>
      </c>
      <c r="K67" t="str">
        <f>_xlfn.XLOOKUP(J67,'PRODUCTS A'!B:B,'PRODUCTS A'!C:C,"Not Found")</f>
        <v>Electronics</v>
      </c>
      <c r="L67" s="9">
        <f>_xlfn.XLOOKUP(J67,'PRODUCTS A'!B:B,'PRODUCTS A'!D:D,"Not Found")</f>
        <v>180000</v>
      </c>
      <c r="M67" s="10">
        <f t="shared" si="2"/>
        <v>540000</v>
      </c>
    </row>
    <row r="68" spans="1:13" x14ac:dyDescent="0.25">
      <c r="A68" t="str">
        <f>_xlfn.XLOOKUP(E68,'CUSTOMERS A'!A:A,'CUSTOMERS A'!B:B,"Not Found")</f>
        <v>Hauwa Ali</v>
      </c>
      <c r="B68" t="str">
        <f>_xlfn.XLOOKUP(A68,'CUSTOMERS A'!B:B,'CUSTOMERS A'!C:C,"Not Found")</f>
        <v>Kano</v>
      </c>
      <c r="C68" t="str">
        <f>_xlfn.XLOOKUP(A68,'CUSTOMERS A'!B:B,'CUSTOMERS A'!D:D,"Not Found")</f>
        <v>Corporate</v>
      </c>
      <c r="D68" t="s">
        <v>214</v>
      </c>
      <c r="E68" t="s">
        <v>75</v>
      </c>
      <c r="F68" t="s">
        <v>40</v>
      </c>
      <c r="G68" s="19">
        <v>46096</v>
      </c>
      <c r="H68" s="2">
        <v>4</v>
      </c>
      <c r="I68" s="7">
        <v>0</v>
      </c>
      <c r="J68" t="str">
        <f>_xlfn.XLOOKUP(F68,'PRODUCTS A'!A:A,'PRODUCTS A'!B:B,"Not Found")</f>
        <v>Printer</v>
      </c>
      <c r="K68" t="str">
        <f>_xlfn.XLOOKUP(J68,'PRODUCTS A'!B:B,'PRODUCTS A'!C:C,"Not Found")</f>
        <v>Office Equipment</v>
      </c>
      <c r="L68" s="9">
        <f>_xlfn.XLOOKUP(J68,'PRODUCTS A'!B:B,'PRODUCTS A'!D:D,"Not Found")</f>
        <v>120000</v>
      </c>
      <c r="M68" s="10">
        <f t="shared" si="2"/>
        <v>480000</v>
      </c>
    </row>
    <row r="69" spans="1:13" x14ac:dyDescent="0.25">
      <c r="A69" t="str">
        <f>_xlfn.XLOOKUP(E69,'CUSTOMERS A'!A:A,'CUSTOMERS A'!B:B,"Not Found")</f>
        <v>Chinedu Obi</v>
      </c>
      <c r="B69" t="str">
        <f>_xlfn.XLOOKUP(A69,'CUSTOMERS A'!B:B,'CUSTOMERS A'!C:C,"Not Found")</f>
        <v>Port Harcourt</v>
      </c>
      <c r="C69" t="str">
        <f>_xlfn.XLOOKUP(A69,'CUSTOMERS A'!B:B,'CUSTOMERS A'!D:D,"Not Found")</f>
        <v>Corporate</v>
      </c>
      <c r="D69" t="s">
        <v>215</v>
      </c>
      <c r="E69" t="s">
        <v>57</v>
      </c>
      <c r="F69" t="s">
        <v>62</v>
      </c>
      <c r="G69" s="19">
        <v>46128</v>
      </c>
      <c r="H69" s="2">
        <v>5</v>
      </c>
      <c r="I69" s="7">
        <v>0</v>
      </c>
      <c r="J69" t="str">
        <f>_xlfn.XLOOKUP(F69,'PRODUCTS A'!A:A,'PRODUCTS A'!B:B,"Not Found")</f>
        <v>Headset</v>
      </c>
      <c r="K69" t="str">
        <f>_xlfn.XLOOKUP(J69,'PRODUCTS A'!B:B,'PRODUCTS A'!C:C,"Not Found")</f>
        <v>Accessories</v>
      </c>
      <c r="L69" s="9">
        <f>_xlfn.XLOOKUP(J69,'PRODUCTS A'!B:B,'PRODUCTS A'!D:D,"Not Found")</f>
        <v>25000</v>
      </c>
      <c r="M69" s="10">
        <f t="shared" si="2"/>
        <v>125000</v>
      </c>
    </row>
    <row r="70" spans="1:13" x14ac:dyDescent="0.25">
      <c r="A70" t="str">
        <f>_xlfn.XLOOKUP(E70,'CUSTOMERS A'!A:A,'CUSTOMERS A'!B:B,"Not Found")</f>
        <v>Esther James</v>
      </c>
      <c r="B70" t="str">
        <f>_xlfn.XLOOKUP(A70,'CUSTOMERS A'!B:B,'CUSTOMERS A'!C:C,"Not Found")</f>
        <v>Warri</v>
      </c>
      <c r="C70" t="str">
        <f>_xlfn.XLOOKUP(A70,'CUSTOMERS A'!B:B,'CUSTOMERS A'!D:D,"Not Found")</f>
        <v>Retail</v>
      </c>
      <c r="D70" t="s">
        <v>216</v>
      </c>
      <c r="E70" t="s">
        <v>94</v>
      </c>
      <c r="F70" t="s">
        <v>12</v>
      </c>
      <c r="G70" s="19">
        <v>46159</v>
      </c>
      <c r="H70" s="2">
        <v>1</v>
      </c>
      <c r="I70" s="7">
        <v>0.05</v>
      </c>
      <c r="J70" t="str">
        <f>_xlfn.XLOOKUP(F70,'PRODUCTS A'!A:A,'PRODUCTS A'!B:B,"Not Found")</f>
        <v>Laptop</v>
      </c>
      <c r="K70" t="str">
        <f>_xlfn.XLOOKUP(J70,'PRODUCTS A'!B:B,'PRODUCTS A'!C:C,"Not Found")</f>
        <v>Electronics</v>
      </c>
      <c r="L70" s="9">
        <f>_xlfn.XLOOKUP(J70,'PRODUCTS A'!B:B,'PRODUCTS A'!D:D,"Not Found")</f>
        <v>450000</v>
      </c>
      <c r="M70" s="10">
        <f t="shared" si="2"/>
        <v>427500</v>
      </c>
    </row>
    <row r="71" spans="1:13" x14ac:dyDescent="0.25">
      <c r="A71" t="str">
        <f>_xlfn.XLOOKUP(E71,'CUSTOMERS A'!A:A,'CUSTOMERS A'!B:B,"Not Found")</f>
        <v>Kelvin George</v>
      </c>
      <c r="B71" t="str">
        <f>_xlfn.XLOOKUP(A71,'CUSTOMERS A'!B:B,'CUSTOMERS A'!C:C,"Not Found")</f>
        <v>Port Harcourt</v>
      </c>
      <c r="C71" t="str">
        <f>_xlfn.XLOOKUP(A71,'CUSTOMERS A'!B:B,'CUSTOMERS A'!D:D,"Not Found")</f>
        <v>Retail</v>
      </c>
      <c r="D71" t="s">
        <v>217</v>
      </c>
      <c r="E71" t="s">
        <v>91</v>
      </c>
      <c r="F71" t="s">
        <v>11</v>
      </c>
      <c r="G71" s="19">
        <v>46191</v>
      </c>
      <c r="H71" s="2">
        <v>2</v>
      </c>
      <c r="I71" s="7">
        <v>0</v>
      </c>
      <c r="J71" t="str">
        <f>_xlfn.XLOOKUP(F71,'PRODUCTS A'!A:A,'PRODUCTS A'!B:B,"Not Found")</f>
        <v>Mouse</v>
      </c>
      <c r="K71" t="str">
        <f>_xlfn.XLOOKUP(J71,'PRODUCTS A'!B:B,'PRODUCTS A'!C:C,"Not Found")</f>
        <v>Accessories</v>
      </c>
      <c r="L71" s="9">
        <f>_xlfn.XLOOKUP(J71,'PRODUCTS A'!B:B,'PRODUCTS A'!D:D,"Not Found")</f>
        <v>8000</v>
      </c>
      <c r="M71" s="10">
        <f t="shared" si="2"/>
        <v>16000</v>
      </c>
    </row>
    <row r="72" spans="1:13" x14ac:dyDescent="0.25">
      <c r="A72" t="str">
        <f>_xlfn.XLOOKUP(E72,'CUSTOMERS A'!A:A,'CUSTOMERS A'!B:B,"Not Found")</f>
        <v>Grace Eze</v>
      </c>
      <c r="B72" t="str">
        <f>_xlfn.XLOOKUP(A72,'CUSTOMERS A'!B:B,'CUSTOMERS A'!C:C,"Not Found")</f>
        <v>Benin City</v>
      </c>
      <c r="C72" t="str">
        <f>_xlfn.XLOOKUP(A72,'CUSTOMERS A'!B:B,'CUSTOMERS A'!D:D,"Not Found")</f>
        <v>Retail</v>
      </c>
      <c r="D72" t="s">
        <v>218</v>
      </c>
      <c r="E72" t="s">
        <v>65</v>
      </c>
      <c r="F72" t="s">
        <v>21</v>
      </c>
      <c r="G72" s="19">
        <v>46041</v>
      </c>
      <c r="H72" s="2">
        <v>3</v>
      </c>
      <c r="I72" s="7">
        <v>0</v>
      </c>
      <c r="J72" t="str">
        <f>_xlfn.XLOOKUP(F72,'PRODUCTS A'!A:A,'PRODUCTS A'!B:B,"Not Found")</f>
        <v>Desk</v>
      </c>
      <c r="K72" t="str">
        <f>_xlfn.XLOOKUP(J72,'PRODUCTS A'!B:B,'PRODUCTS A'!C:C,"Not Found")</f>
        <v>Furniture</v>
      </c>
      <c r="L72" s="9">
        <f>_xlfn.XLOOKUP(J72,'PRODUCTS A'!B:B,'PRODUCTS A'!D:D,"Not Found")</f>
        <v>140000</v>
      </c>
      <c r="M72" s="10">
        <f t="shared" si="2"/>
        <v>420000</v>
      </c>
    </row>
    <row r="73" spans="1:13" x14ac:dyDescent="0.25">
      <c r="A73" t="str">
        <f>_xlfn.XLOOKUP(E73,'CUSTOMERS A'!A:A,'CUSTOMERS A'!B:B,"Not Found")</f>
        <v>David Umeh</v>
      </c>
      <c r="B73" t="str">
        <f>_xlfn.XLOOKUP(A73,'CUSTOMERS A'!B:B,'CUSTOMERS A'!C:C,"Not Found")</f>
        <v>Asaba</v>
      </c>
      <c r="C73" t="str">
        <f>_xlfn.XLOOKUP(A73,'CUSTOMERS A'!B:B,'CUSTOMERS A'!D:D,"Not Found")</f>
        <v>Corporate</v>
      </c>
      <c r="D73" t="s">
        <v>219</v>
      </c>
      <c r="E73" t="s">
        <v>98</v>
      </c>
      <c r="F73" t="s">
        <v>30</v>
      </c>
      <c r="G73" s="19">
        <v>46073</v>
      </c>
      <c r="H73" s="2">
        <v>4</v>
      </c>
      <c r="I73" s="7">
        <v>0</v>
      </c>
      <c r="J73" t="str">
        <f>_xlfn.XLOOKUP(F73,'PRODUCTS A'!A:A,'PRODUCTS A'!B:B,"Not Found")</f>
        <v>External Drive</v>
      </c>
      <c r="K73" t="str">
        <f>_xlfn.XLOOKUP(J73,'PRODUCTS A'!B:B,'PRODUCTS A'!C:C,"Not Found")</f>
        <v>Electronics</v>
      </c>
      <c r="L73" s="9">
        <f>_xlfn.XLOOKUP(J73,'PRODUCTS A'!B:B,'PRODUCTS A'!D:D,"Not Found")</f>
        <v>75000</v>
      </c>
      <c r="M73" s="10">
        <f t="shared" si="2"/>
        <v>300000</v>
      </c>
    </row>
    <row r="74" spans="1:13" x14ac:dyDescent="0.25">
      <c r="A74" t="str">
        <f>_xlfn.XLOOKUP(E74,'CUSTOMERS A'!A:A,'CUSTOMERS A'!B:B,"Not Found")</f>
        <v>Mercy John</v>
      </c>
      <c r="B74" t="str">
        <f>_xlfn.XLOOKUP(A74,'CUSTOMERS A'!B:B,'CUSTOMERS A'!C:C,"Not Found")</f>
        <v>Benin City</v>
      </c>
      <c r="C74" t="str">
        <f>_xlfn.XLOOKUP(A74,'CUSTOMERS A'!B:B,'CUSTOMERS A'!D:D,"Not Found")</f>
        <v>Wholesale</v>
      </c>
      <c r="D74" t="s">
        <v>220</v>
      </c>
      <c r="E74" t="s">
        <v>107</v>
      </c>
      <c r="F74" t="s">
        <v>24</v>
      </c>
      <c r="G74" s="19">
        <v>46102</v>
      </c>
      <c r="H74" s="2">
        <v>5</v>
      </c>
      <c r="I74" s="7">
        <v>0</v>
      </c>
      <c r="J74" t="str">
        <f>_xlfn.XLOOKUP(F74,'PRODUCTS A'!A:A,'PRODUCTS A'!B:B,"Not Found")</f>
        <v>Keyboard</v>
      </c>
      <c r="K74" t="str">
        <f>_xlfn.XLOOKUP(J74,'PRODUCTS A'!B:B,'PRODUCTS A'!C:C,"Not Found")</f>
        <v>Accessories</v>
      </c>
      <c r="L74" s="9">
        <f>_xlfn.XLOOKUP(J74,'PRODUCTS A'!B:B,'PRODUCTS A'!D:D,"Not Found")</f>
        <v>15000</v>
      </c>
      <c r="M74" s="10">
        <f t="shared" si="2"/>
        <v>75000</v>
      </c>
    </row>
    <row r="75" spans="1:13" x14ac:dyDescent="0.25">
      <c r="A75" t="str">
        <f>_xlfn.XLOOKUP(E75,'CUSTOMERS A'!A:A,'CUSTOMERS A'!B:B,"Not Found")</f>
        <v>Samuel Adeyemi</v>
      </c>
      <c r="B75" t="str">
        <f>_xlfn.XLOOKUP(A75,'CUSTOMERS A'!B:B,'CUSTOMERS A'!C:C,"Not Found")</f>
        <v>Ibadan</v>
      </c>
      <c r="C75" t="str">
        <f>_xlfn.XLOOKUP(A75,'CUSTOMERS A'!B:B,'CUSTOMERS A'!D:D,"Not Found")</f>
        <v>Wholesale</v>
      </c>
      <c r="D75" t="s">
        <v>221</v>
      </c>
      <c r="E75" t="s">
        <v>71</v>
      </c>
      <c r="F75" t="s">
        <v>47</v>
      </c>
      <c r="G75" s="19">
        <v>46134</v>
      </c>
      <c r="H75" s="2">
        <v>1</v>
      </c>
      <c r="I75" s="7">
        <v>0</v>
      </c>
      <c r="J75" t="str">
        <f>_xlfn.XLOOKUP(F75,'PRODUCTS A'!A:A,'PRODUCTS A'!B:B,"Not Found")</f>
        <v>Office Chair</v>
      </c>
      <c r="K75" t="str">
        <f>_xlfn.XLOOKUP(J75,'PRODUCTS A'!B:B,'PRODUCTS A'!C:C,"Not Found")</f>
        <v>Furniture</v>
      </c>
      <c r="L75" s="9">
        <f>_xlfn.XLOOKUP(J75,'PRODUCTS A'!B:B,'PRODUCTS A'!D:D,"Not Found")</f>
        <v>95000</v>
      </c>
      <c r="M75" s="10">
        <f t="shared" si="2"/>
        <v>95000</v>
      </c>
    </row>
    <row r="76" spans="1:13" x14ac:dyDescent="0.25">
      <c r="A76" t="str">
        <f>_xlfn.XLOOKUP(E76,'CUSTOMERS A'!A:A,'CUSTOMERS A'!B:B,"Not Found")</f>
        <v>Joy Akpan</v>
      </c>
      <c r="B76" t="str">
        <f>_xlfn.XLOOKUP(A76,'CUSTOMERS A'!B:B,'CUSTOMERS A'!C:C,"Not Found")</f>
        <v>Uyo</v>
      </c>
      <c r="C76" t="str">
        <f>_xlfn.XLOOKUP(A76,'CUSTOMERS A'!B:B,'CUSTOMERS A'!D:D,"Not Found")</f>
        <v>Retail</v>
      </c>
      <c r="D76" t="s">
        <v>222</v>
      </c>
      <c r="E76" t="s">
        <v>103</v>
      </c>
      <c r="F76" t="s">
        <v>58</v>
      </c>
      <c r="G76" s="19">
        <v>46165</v>
      </c>
      <c r="H76" s="2">
        <v>2</v>
      </c>
      <c r="I76" s="7">
        <v>0</v>
      </c>
      <c r="J76" t="str">
        <f>_xlfn.XLOOKUP(F76,'PRODUCTS A'!A:A,'PRODUCTS A'!B:B,"Not Found")</f>
        <v>Tablet</v>
      </c>
      <c r="K76" t="str">
        <f>_xlfn.XLOOKUP(J76,'PRODUCTS A'!B:B,'PRODUCTS A'!C:C,"Not Found")</f>
        <v>Electronics</v>
      </c>
      <c r="L76" s="9">
        <f>_xlfn.XLOOKUP(J76,'PRODUCTS A'!B:B,'PRODUCTS A'!D:D,"Not Found")</f>
        <v>220000</v>
      </c>
      <c r="M76" s="10">
        <f t="shared" si="2"/>
        <v>440000</v>
      </c>
    </row>
    <row r="77" spans="1:13" x14ac:dyDescent="0.25">
      <c r="A77" t="str">
        <f>_xlfn.XLOOKUP(E77,'CUSTOMERS A'!A:A,'CUSTOMERS A'!B:B,"Not Found")</f>
        <v>Tunde Adebayo</v>
      </c>
      <c r="B77" t="str">
        <f>_xlfn.XLOOKUP(A77,'CUSTOMERS A'!B:B,'CUSTOMERS A'!C:C,"Not Found")</f>
        <v>Ibadan</v>
      </c>
      <c r="C77" t="str">
        <f>_xlfn.XLOOKUP(A77,'CUSTOMERS A'!B:B,'CUSTOMERS A'!D:D,"Not Found")</f>
        <v>Corporate</v>
      </c>
      <c r="D77" t="s">
        <v>223</v>
      </c>
      <c r="E77" t="s">
        <v>121</v>
      </c>
      <c r="F77" t="s">
        <v>17</v>
      </c>
      <c r="G77" s="19">
        <v>46197</v>
      </c>
      <c r="H77" s="2">
        <v>3</v>
      </c>
      <c r="I77" s="7">
        <v>0.1</v>
      </c>
      <c r="J77" t="str">
        <f>_xlfn.XLOOKUP(F77,'PRODUCTS A'!A:A,'PRODUCTS A'!B:B,"Not Found")</f>
        <v>Monitor</v>
      </c>
      <c r="K77" t="str">
        <f>_xlfn.XLOOKUP(J77,'PRODUCTS A'!B:B,'PRODUCTS A'!C:C,"Not Found")</f>
        <v>Electronics</v>
      </c>
      <c r="L77" s="9">
        <f>_xlfn.XLOOKUP(J77,'PRODUCTS A'!B:B,'PRODUCTS A'!D:D,"Not Found")</f>
        <v>180000</v>
      </c>
      <c r="M77" s="10">
        <f t="shared" si="2"/>
        <v>486000</v>
      </c>
    </row>
    <row r="78" spans="1:13" x14ac:dyDescent="0.25">
      <c r="A78" t="str">
        <f>_xlfn.XLOOKUP(E78,'CUSTOMERS A'!A:A,'CUSTOMERS A'!B:B,"Not Found")</f>
        <v>Fatima Musa</v>
      </c>
      <c r="B78" t="str">
        <f>_xlfn.XLOOKUP(A78,'CUSTOMERS A'!B:B,'CUSTOMERS A'!C:C,"Not Found")</f>
        <v>Kaduna</v>
      </c>
      <c r="C78" t="str">
        <f>_xlfn.XLOOKUP(A78,'CUSTOMERS A'!B:B,'CUSTOMERS A'!D:D,"Not Found")</f>
        <v>Retail</v>
      </c>
      <c r="D78" t="s">
        <v>224</v>
      </c>
      <c r="E78" t="s">
        <v>79</v>
      </c>
      <c r="F78" t="s">
        <v>40</v>
      </c>
      <c r="G78" s="19">
        <v>46047</v>
      </c>
      <c r="H78" s="2">
        <v>4</v>
      </c>
      <c r="I78" s="7">
        <v>0</v>
      </c>
      <c r="J78" t="str">
        <f>_xlfn.XLOOKUP(F78,'PRODUCTS A'!A:A,'PRODUCTS A'!B:B,"Not Found")</f>
        <v>Printer</v>
      </c>
      <c r="K78" t="str">
        <f>_xlfn.XLOOKUP(J78,'PRODUCTS A'!B:B,'PRODUCTS A'!C:C,"Not Found")</f>
        <v>Office Equipment</v>
      </c>
      <c r="L78" s="9">
        <f>_xlfn.XLOOKUP(J78,'PRODUCTS A'!B:B,'PRODUCTS A'!D:D,"Not Found")</f>
        <v>120000</v>
      </c>
      <c r="M78" s="10">
        <f t="shared" si="2"/>
        <v>480000</v>
      </c>
    </row>
    <row r="79" spans="1:13" x14ac:dyDescent="0.25">
      <c r="A79" t="str">
        <f>_xlfn.XLOOKUP(E79,'CUSTOMERS A'!A:A,'CUSTOMERS A'!B:B,"Not Found")</f>
        <v>Michael Joseph</v>
      </c>
      <c r="B79" t="str">
        <f>_xlfn.XLOOKUP(A79,'CUSTOMERS A'!B:B,'CUSTOMERS A'!C:C,"Not Found")</f>
        <v>Calabar</v>
      </c>
      <c r="C79" t="str">
        <f>_xlfn.XLOOKUP(A79,'CUSTOMERS A'!B:B,'CUSTOMERS A'!D:D,"Not Found")</f>
        <v>Wholesale</v>
      </c>
      <c r="D79" t="s">
        <v>225</v>
      </c>
      <c r="E79" t="s">
        <v>109</v>
      </c>
      <c r="F79" t="s">
        <v>62</v>
      </c>
      <c r="G79" s="19">
        <v>46079</v>
      </c>
      <c r="H79" s="2">
        <v>5</v>
      </c>
      <c r="I79" s="7">
        <v>0</v>
      </c>
      <c r="J79" t="str">
        <f>_xlfn.XLOOKUP(F79,'PRODUCTS A'!A:A,'PRODUCTS A'!B:B,"Not Found")</f>
        <v>Headset</v>
      </c>
      <c r="K79" t="str">
        <f>_xlfn.XLOOKUP(J79,'PRODUCTS A'!B:B,'PRODUCTS A'!C:C,"Not Found")</f>
        <v>Accessories</v>
      </c>
      <c r="L79" s="9">
        <f>_xlfn.XLOOKUP(J79,'PRODUCTS A'!B:B,'PRODUCTS A'!D:D,"Not Found")</f>
        <v>25000</v>
      </c>
      <c r="M79" s="10">
        <f t="shared" si="2"/>
        <v>125000</v>
      </c>
    </row>
    <row r="80" spans="1:13" x14ac:dyDescent="0.25">
      <c r="A80" t="str">
        <f>_xlfn.XLOOKUP(E80,'CUSTOMERS A'!A:A,'CUSTOMERS A'!B:B,"Not Found")</f>
        <v>Emeka Nwosu</v>
      </c>
      <c r="B80" t="str">
        <f>_xlfn.XLOOKUP(A80,'CUSTOMERS A'!B:B,'CUSTOMERS A'!C:C,"Not Found")</f>
        <v>Enugu</v>
      </c>
      <c r="C80" t="str">
        <f>_xlfn.XLOOKUP(A80,'CUSTOMERS A'!B:B,'CUSTOMERS A'!D:D,"Not Found")</f>
        <v>Corporate</v>
      </c>
      <c r="D80" t="s">
        <v>228</v>
      </c>
      <c r="E80" t="s">
        <v>10</v>
      </c>
      <c r="F80" t="s">
        <v>11</v>
      </c>
      <c r="G80" s="19">
        <v>46113</v>
      </c>
      <c r="H80" s="2">
        <v>2</v>
      </c>
      <c r="I80" s="7">
        <v>0</v>
      </c>
      <c r="J80" t="str">
        <f>_xlfn.XLOOKUP(F80,'PRODUCTS A'!A:A,'PRODUCTS A'!B:B,"Not Found")</f>
        <v>Mouse</v>
      </c>
      <c r="K80" t="str">
        <f>_xlfn.XLOOKUP(J80,'PRODUCTS A'!B:B,'PRODUCTS A'!C:C,"Not Found")</f>
        <v>Accessories</v>
      </c>
      <c r="L80" s="9">
        <f>_xlfn.XLOOKUP(J80,'PRODUCTS A'!B:B,'PRODUCTS A'!D:D,"Not Found")</f>
        <v>8000</v>
      </c>
      <c r="M80" s="10">
        <f t="shared" ref="M80:M111" si="3">L80*H80*(1-I80)</f>
        <v>16000</v>
      </c>
    </row>
    <row r="81" spans="1:13" x14ac:dyDescent="0.25">
      <c r="A81" t="str">
        <f>_xlfn.XLOOKUP(E81,'CUSTOMERS A'!A:A,'CUSTOMERS A'!B:B,"Not Found")</f>
        <v>Ruth Daniel</v>
      </c>
      <c r="B81" t="str">
        <f>_xlfn.XLOOKUP(A81,'CUSTOMERS A'!B:B,'CUSTOMERS A'!C:C,"Not Found")</f>
        <v>Lagos</v>
      </c>
      <c r="C81" t="str">
        <f>_xlfn.XLOOKUP(A81,'CUSTOMERS A'!B:B,'CUSTOMERS A'!D:D,"Not Found")</f>
        <v>Corporate</v>
      </c>
      <c r="D81" t="s">
        <v>229</v>
      </c>
      <c r="E81" t="s">
        <v>19</v>
      </c>
      <c r="F81" t="s">
        <v>21</v>
      </c>
      <c r="G81" s="19">
        <v>46144</v>
      </c>
      <c r="H81" s="2">
        <v>3</v>
      </c>
      <c r="I81" s="7">
        <v>0</v>
      </c>
      <c r="J81" t="str">
        <f>_xlfn.XLOOKUP(F81,'PRODUCTS A'!A:A,'PRODUCTS A'!B:B,"Not Found")</f>
        <v>Desk</v>
      </c>
      <c r="K81" t="str">
        <f>_xlfn.XLOOKUP(J81,'PRODUCTS A'!B:B,'PRODUCTS A'!C:C,"Not Found")</f>
        <v>Furniture</v>
      </c>
      <c r="L81" s="9">
        <f>_xlfn.XLOOKUP(J81,'PRODUCTS A'!B:B,'PRODUCTS A'!D:D,"Not Found")</f>
        <v>140000</v>
      </c>
      <c r="M81" s="10">
        <f t="shared" si="3"/>
        <v>420000</v>
      </c>
    </row>
    <row r="82" spans="1:13" x14ac:dyDescent="0.25">
      <c r="A82" t="str">
        <f>_xlfn.XLOOKUP(E82,'CUSTOMERS A'!A:A,'CUSTOMERS A'!B:B,"Not Found")</f>
        <v>Daniel Okafor</v>
      </c>
      <c r="B82" t="str">
        <f>_xlfn.XLOOKUP(A82,'CUSTOMERS A'!B:B,'CUSTOMERS A'!C:C,"Not Found")</f>
        <v>Abuja</v>
      </c>
      <c r="C82" t="str">
        <f>_xlfn.XLOOKUP(A82,'CUSTOMERS A'!B:B,'CUSTOMERS A'!D:D,"Not Found")</f>
        <v>Corporate</v>
      </c>
      <c r="D82" t="s">
        <v>230</v>
      </c>
      <c r="E82" t="s">
        <v>29</v>
      </c>
      <c r="F82" t="s">
        <v>30</v>
      </c>
      <c r="G82" s="19">
        <v>46176</v>
      </c>
      <c r="H82" s="2">
        <v>4</v>
      </c>
      <c r="I82" s="7">
        <v>0</v>
      </c>
      <c r="J82" t="str">
        <f>_xlfn.XLOOKUP(F82,'PRODUCTS A'!A:A,'PRODUCTS A'!B:B,"Not Found")</f>
        <v>External Drive</v>
      </c>
      <c r="K82" t="str">
        <f>_xlfn.XLOOKUP(J82,'PRODUCTS A'!B:B,'PRODUCTS A'!C:C,"Not Found")</f>
        <v>Electronics</v>
      </c>
      <c r="L82" s="9">
        <f>_xlfn.XLOOKUP(J82,'PRODUCTS A'!B:B,'PRODUCTS A'!D:D,"Not Found")</f>
        <v>75000</v>
      </c>
      <c r="M82" s="10">
        <f t="shared" si="3"/>
        <v>300000</v>
      </c>
    </row>
    <row r="83" spans="1:13" x14ac:dyDescent="0.25">
      <c r="A83" t="str">
        <f>_xlfn.XLOOKUP(E83,'CUSTOMERS A'!A:A,'CUSTOMERS A'!B:B,"Not Found")</f>
        <v>Blessing Ojo</v>
      </c>
      <c r="B83" t="str">
        <f>_xlfn.XLOOKUP(A83,'CUSTOMERS A'!B:B,'CUSTOMERS A'!C:C,"Not Found")</f>
        <v>Lagos</v>
      </c>
      <c r="C83" t="str">
        <f>_xlfn.XLOOKUP(A83,'CUSTOMERS A'!B:B,'CUSTOMERS A'!D:D,"Not Found")</f>
        <v>Wholesale</v>
      </c>
      <c r="D83" t="s">
        <v>231</v>
      </c>
      <c r="E83" t="s">
        <v>36</v>
      </c>
      <c r="F83" t="s">
        <v>24</v>
      </c>
      <c r="G83" s="19">
        <v>46026</v>
      </c>
      <c r="H83" s="2">
        <v>5</v>
      </c>
      <c r="I83" s="7">
        <v>0.05</v>
      </c>
      <c r="J83" t="str">
        <f>_xlfn.XLOOKUP(F83,'PRODUCTS A'!A:A,'PRODUCTS A'!B:B,"Not Found")</f>
        <v>Keyboard</v>
      </c>
      <c r="K83" t="str">
        <f>_xlfn.XLOOKUP(J83,'PRODUCTS A'!B:B,'PRODUCTS A'!C:C,"Not Found")</f>
        <v>Accessories</v>
      </c>
      <c r="L83" s="9">
        <f>_xlfn.XLOOKUP(J83,'PRODUCTS A'!B:B,'PRODUCTS A'!D:D,"Not Found")</f>
        <v>15000</v>
      </c>
      <c r="M83" s="10">
        <f t="shared" si="3"/>
        <v>71250</v>
      </c>
    </row>
    <row r="84" spans="1:13" x14ac:dyDescent="0.25">
      <c r="A84" t="str">
        <f>_xlfn.XLOOKUP(E84,'CUSTOMERS A'!A:A,'CUSTOMERS A'!B:B,"Not Found")</f>
        <v>Peter Williams</v>
      </c>
      <c r="B84" t="str">
        <f>_xlfn.XLOOKUP(A84,'CUSTOMERS A'!B:B,'CUSTOMERS A'!C:C,"Not Found")</f>
        <v>Abeokuta</v>
      </c>
      <c r="C84" t="str">
        <f>_xlfn.XLOOKUP(A84,'CUSTOMERS A'!B:B,'CUSTOMERS A'!D:D,"Not Found")</f>
        <v>Retail</v>
      </c>
      <c r="D84" t="s">
        <v>232</v>
      </c>
      <c r="E84" t="s">
        <v>49</v>
      </c>
      <c r="F84" t="s">
        <v>47</v>
      </c>
      <c r="G84" s="19">
        <v>46058</v>
      </c>
      <c r="H84" s="2">
        <v>1</v>
      </c>
      <c r="I84" s="7">
        <v>0</v>
      </c>
      <c r="J84" t="str">
        <f>_xlfn.XLOOKUP(F84,'PRODUCTS A'!A:A,'PRODUCTS A'!B:B,"Not Found")</f>
        <v>Office Chair</v>
      </c>
      <c r="K84" t="str">
        <f>_xlfn.XLOOKUP(J84,'PRODUCTS A'!B:B,'PRODUCTS A'!C:C,"Not Found")</f>
        <v>Furniture</v>
      </c>
      <c r="L84" s="9">
        <f>_xlfn.XLOOKUP(J84,'PRODUCTS A'!B:B,'PRODUCTS A'!D:D,"Not Found")</f>
        <v>95000</v>
      </c>
      <c r="M84" s="10">
        <f t="shared" si="3"/>
        <v>95000</v>
      </c>
    </row>
    <row r="85" spans="1:13" x14ac:dyDescent="0.25">
      <c r="A85" t="str">
        <f>_xlfn.XLOOKUP(E85,'CUSTOMERS A'!A:A,'CUSTOMERS A'!B:B,"Not Found")</f>
        <v>Mariam Yusuf</v>
      </c>
      <c r="B85" t="str">
        <f>_xlfn.XLOOKUP(A85,'CUSTOMERS A'!B:B,'CUSTOMERS A'!C:C,"Not Found")</f>
        <v>Kano</v>
      </c>
      <c r="C85" t="str">
        <f>_xlfn.XLOOKUP(A85,'CUSTOMERS A'!B:B,'CUSTOMERS A'!D:D,"Not Found")</f>
        <v>Retail</v>
      </c>
      <c r="D85" t="s">
        <v>233</v>
      </c>
      <c r="E85" t="s">
        <v>50</v>
      </c>
      <c r="F85" t="s">
        <v>58</v>
      </c>
      <c r="G85" s="19">
        <v>46087</v>
      </c>
      <c r="H85" s="2">
        <v>2</v>
      </c>
      <c r="I85" s="7">
        <v>0</v>
      </c>
      <c r="J85" t="str">
        <f>_xlfn.XLOOKUP(F85,'PRODUCTS A'!A:A,'PRODUCTS A'!B:B,"Not Found")</f>
        <v>Tablet</v>
      </c>
      <c r="K85" t="str">
        <f>_xlfn.XLOOKUP(J85,'PRODUCTS A'!B:B,'PRODUCTS A'!C:C,"Not Found")</f>
        <v>Electronics</v>
      </c>
      <c r="L85" s="9">
        <f>_xlfn.XLOOKUP(J85,'PRODUCTS A'!B:B,'PRODUCTS A'!D:D,"Not Found")</f>
        <v>220000</v>
      </c>
      <c r="M85" s="10">
        <f t="shared" si="3"/>
        <v>440000</v>
      </c>
    </row>
    <row r="86" spans="1:13" x14ac:dyDescent="0.25">
      <c r="A86" t="str">
        <f>_xlfn.XLOOKUP(E86,'CUSTOMERS A'!A:A,'CUSTOMERS A'!B:B,"Not Found")</f>
        <v>Ibrahim Sani</v>
      </c>
      <c r="B86" t="str">
        <f>_xlfn.XLOOKUP(A86,'CUSTOMERS A'!B:B,'CUSTOMERS A'!C:C,"Not Found")</f>
        <v>Abuja</v>
      </c>
      <c r="C86" t="str">
        <f>_xlfn.XLOOKUP(A86,'CUSTOMERS A'!B:B,'CUSTOMERS A'!D:D,"Not Found")</f>
        <v>Retail</v>
      </c>
      <c r="D86" t="s">
        <v>234</v>
      </c>
      <c r="E86" t="s">
        <v>66</v>
      </c>
      <c r="F86" t="s">
        <v>17</v>
      </c>
      <c r="G86" s="19">
        <v>46119</v>
      </c>
      <c r="H86" s="2">
        <v>3</v>
      </c>
      <c r="I86" s="7">
        <v>0</v>
      </c>
      <c r="J86" t="str">
        <f>_xlfn.XLOOKUP(F86,'PRODUCTS A'!A:A,'PRODUCTS A'!B:B,"Not Found")</f>
        <v>Monitor</v>
      </c>
      <c r="K86" t="str">
        <f>_xlfn.XLOOKUP(J86,'PRODUCTS A'!B:B,'PRODUCTS A'!C:C,"Not Found")</f>
        <v>Electronics</v>
      </c>
      <c r="L86" s="9">
        <f>_xlfn.XLOOKUP(J86,'PRODUCTS A'!B:B,'PRODUCTS A'!D:D,"Not Found")</f>
        <v>180000</v>
      </c>
      <c r="M86" s="10">
        <f t="shared" si="3"/>
        <v>540000</v>
      </c>
    </row>
    <row r="87" spans="1:13" x14ac:dyDescent="0.25">
      <c r="A87" t="str">
        <f>_xlfn.XLOOKUP(E87,'CUSTOMERS A'!A:A,'CUSTOMERS A'!B:B,"Not Found")</f>
        <v>Hauwa Ali</v>
      </c>
      <c r="B87" t="str">
        <f>_xlfn.XLOOKUP(A87,'CUSTOMERS A'!B:B,'CUSTOMERS A'!C:C,"Not Found")</f>
        <v>Kano</v>
      </c>
      <c r="C87" t="str">
        <f>_xlfn.XLOOKUP(A87,'CUSTOMERS A'!B:B,'CUSTOMERS A'!D:D,"Not Found")</f>
        <v>Corporate</v>
      </c>
      <c r="D87" t="s">
        <v>235</v>
      </c>
      <c r="E87" t="s">
        <v>75</v>
      </c>
      <c r="F87" t="s">
        <v>40</v>
      </c>
      <c r="G87" s="19">
        <v>46150</v>
      </c>
      <c r="H87" s="2">
        <v>4</v>
      </c>
      <c r="I87" s="7">
        <v>0.1</v>
      </c>
      <c r="J87" t="str">
        <f>_xlfn.XLOOKUP(F87,'PRODUCTS A'!A:A,'PRODUCTS A'!B:B,"Not Found")</f>
        <v>Printer</v>
      </c>
      <c r="K87" t="str">
        <f>_xlfn.XLOOKUP(J87,'PRODUCTS A'!B:B,'PRODUCTS A'!C:C,"Not Found")</f>
        <v>Office Equipment</v>
      </c>
      <c r="L87" s="9">
        <f>_xlfn.XLOOKUP(J87,'PRODUCTS A'!B:B,'PRODUCTS A'!D:D,"Not Found")</f>
        <v>120000</v>
      </c>
      <c r="M87" s="10">
        <f t="shared" si="3"/>
        <v>432000</v>
      </c>
    </row>
    <row r="88" spans="1:13" x14ac:dyDescent="0.25">
      <c r="A88" t="str">
        <f>_xlfn.XLOOKUP(E88,'CUSTOMERS A'!A:A,'CUSTOMERS A'!B:B,"Not Found")</f>
        <v>Chinedu Obi</v>
      </c>
      <c r="B88" t="str">
        <f>_xlfn.XLOOKUP(A88,'CUSTOMERS A'!B:B,'CUSTOMERS A'!C:C,"Not Found")</f>
        <v>Port Harcourt</v>
      </c>
      <c r="C88" t="str">
        <f>_xlfn.XLOOKUP(A88,'CUSTOMERS A'!B:B,'CUSTOMERS A'!D:D,"Not Found")</f>
        <v>Corporate</v>
      </c>
      <c r="D88" t="s">
        <v>236</v>
      </c>
      <c r="E88" t="s">
        <v>57</v>
      </c>
      <c r="F88" t="s">
        <v>62</v>
      </c>
      <c r="G88" s="19">
        <v>46182</v>
      </c>
      <c r="H88" s="2">
        <v>5</v>
      </c>
      <c r="I88" s="7">
        <v>0</v>
      </c>
      <c r="J88" t="str">
        <f>_xlfn.XLOOKUP(F88,'PRODUCTS A'!A:A,'PRODUCTS A'!B:B,"Not Found")</f>
        <v>Headset</v>
      </c>
      <c r="K88" t="str">
        <f>_xlfn.XLOOKUP(J88,'PRODUCTS A'!B:B,'PRODUCTS A'!C:C,"Not Found")</f>
        <v>Accessories</v>
      </c>
      <c r="L88" s="9">
        <f>_xlfn.XLOOKUP(J88,'PRODUCTS A'!B:B,'PRODUCTS A'!D:D,"Not Found")</f>
        <v>25000</v>
      </c>
      <c r="M88" s="10">
        <f t="shared" si="3"/>
        <v>125000</v>
      </c>
    </row>
    <row r="89" spans="1:13" x14ac:dyDescent="0.25">
      <c r="A89" t="str">
        <f>_xlfn.XLOOKUP(E89,'CUSTOMERS A'!A:A,'CUSTOMERS A'!B:B,"Not Found")</f>
        <v>Esther James</v>
      </c>
      <c r="B89" t="str">
        <f>_xlfn.XLOOKUP(A89,'CUSTOMERS A'!B:B,'CUSTOMERS A'!C:C,"Not Found")</f>
        <v>Warri</v>
      </c>
      <c r="C89" t="str">
        <f>_xlfn.XLOOKUP(A89,'CUSTOMERS A'!B:B,'CUSTOMERS A'!D:D,"Not Found")</f>
        <v>Retail</v>
      </c>
      <c r="D89" t="s">
        <v>237</v>
      </c>
      <c r="E89" t="s">
        <v>94</v>
      </c>
      <c r="F89" t="s">
        <v>12</v>
      </c>
      <c r="G89" s="19">
        <v>46032</v>
      </c>
      <c r="H89" s="2">
        <v>1</v>
      </c>
      <c r="I89" s="7">
        <v>0</v>
      </c>
      <c r="J89" t="str">
        <f>_xlfn.XLOOKUP(F89,'PRODUCTS A'!A:A,'PRODUCTS A'!B:B,"Not Found")</f>
        <v>Laptop</v>
      </c>
      <c r="K89" t="str">
        <f>_xlfn.XLOOKUP(J89,'PRODUCTS A'!B:B,'PRODUCTS A'!C:C,"Not Found")</f>
        <v>Electronics</v>
      </c>
      <c r="L89" s="9">
        <f>_xlfn.XLOOKUP(J89,'PRODUCTS A'!B:B,'PRODUCTS A'!D:D,"Not Found")</f>
        <v>450000</v>
      </c>
      <c r="M89" s="10">
        <f t="shared" si="3"/>
        <v>450000</v>
      </c>
    </row>
    <row r="90" spans="1:13" x14ac:dyDescent="0.25">
      <c r="A90" t="str">
        <f>_xlfn.XLOOKUP(E90,'CUSTOMERS A'!A:A,'CUSTOMERS A'!B:B,"Not Found")</f>
        <v>Kelvin George</v>
      </c>
      <c r="B90" t="str">
        <f>_xlfn.XLOOKUP(A90,'CUSTOMERS A'!B:B,'CUSTOMERS A'!C:C,"Not Found")</f>
        <v>Port Harcourt</v>
      </c>
      <c r="C90" t="str">
        <f>_xlfn.XLOOKUP(A90,'CUSTOMERS A'!B:B,'CUSTOMERS A'!D:D,"Not Found")</f>
        <v>Retail</v>
      </c>
      <c r="D90" t="s">
        <v>238</v>
      </c>
      <c r="E90" t="s">
        <v>91</v>
      </c>
      <c r="F90" t="s">
        <v>11</v>
      </c>
      <c r="G90" s="19">
        <v>46064</v>
      </c>
      <c r="H90" s="2">
        <v>2</v>
      </c>
      <c r="I90" s="7">
        <v>0.05</v>
      </c>
      <c r="J90" t="str">
        <f>_xlfn.XLOOKUP(F90,'PRODUCTS A'!A:A,'PRODUCTS A'!B:B,"Not Found")</f>
        <v>Mouse</v>
      </c>
      <c r="K90" t="str">
        <f>_xlfn.XLOOKUP(J90,'PRODUCTS A'!B:B,'PRODUCTS A'!C:C,"Not Found")</f>
        <v>Accessories</v>
      </c>
      <c r="L90" s="9">
        <f>_xlfn.XLOOKUP(J90,'PRODUCTS A'!B:B,'PRODUCTS A'!D:D,"Not Found")</f>
        <v>8000</v>
      </c>
      <c r="M90" s="10">
        <f t="shared" si="3"/>
        <v>15200</v>
      </c>
    </row>
    <row r="91" spans="1:13" x14ac:dyDescent="0.25">
      <c r="A91" t="str">
        <f>_xlfn.XLOOKUP(E91,'CUSTOMERS A'!A:A,'CUSTOMERS A'!B:B,"Not Found")</f>
        <v>Grace Eze</v>
      </c>
      <c r="B91" t="str">
        <f>_xlfn.XLOOKUP(A91,'CUSTOMERS A'!B:B,'CUSTOMERS A'!C:C,"Not Found")</f>
        <v>Benin City</v>
      </c>
      <c r="C91" t="str">
        <f>_xlfn.XLOOKUP(A91,'CUSTOMERS A'!B:B,'CUSTOMERS A'!D:D,"Not Found")</f>
        <v>Retail</v>
      </c>
      <c r="D91" t="s">
        <v>239</v>
      </c>
      <c r="E91" t="s">
        <v>65</v>
      </c>
      <c r="F91" t="s">
        <v>21</v>
      </c>
      <c r="G91" s="19">
        <v>46093</v>
      </c>
      <c r="H91" s="2">
        <v>3</v>
      </c>
      <c r="I91" s="7">
        <v>0</v>
      </c>
      <c r="J91" t="str">
        <f>_xlfn.XLOOKUP(F91,'PRODUCTS A'!A:A,'PRODUCTS A'!B:B,"Not Found")</f>
        <v>Desk</v>
      </c>
      <c r="K91" t="str">
        <f>_xlfn.XLOOKUP(J91,'PRODUCTS A'!B:B,'PRODUCTS A'!C:C,"Not Found")</f>
        <v>Furniture</v>
      </c>
      <c r="L91" s="9">
        <f>_xlfn.XLOOKUP(J91,'PRODUCTS A'!B:B,'PRODUCTS A'!D:D,"Not Found")</f>
        <v>140000</v>
      </c>
      <c r="M91" s="10">
        <f t="shared" si="3"/>
        <v>420000</v>
      </c>
    </row>
    <row r="92" spans="1:13" x14ac:dyDescent="0.25">
      <c r="A92" t="str">
        <f>_xlfn.XLOOKUP(E92,'CUSTOMERS A'!A:A,'CUSTOMERS A'!B:B,"Not Found")</f>
        <v>David Umeh</v>
      </c>
      <c r="B92" t="str">
        <f>_xlfn.XLOOKUP(A92,'CUSTOMERS A'!B:B,'CUSTOMERS A'!C:C,"Not Found")</f>
        <v>Asaba</v>
      </c>
      <c r="C92" t="str">
        <f>_xlfn.XLOOKUP(A92,'CUSTOMERS A'!B:B,'CUSTOMERS A'!D:D,"Not Found")</f>
        <v>Corporate</v>
      </c>
      <c r="D92" t="s">
        <v>240</v>
      </c>
      <c r="E92" t="s">
        <v>98</v>
      </c>
      <c r="F92" t="s">
        <v>30</v>
      </c>
      <c r="G92" s="19">
        <v>46125</v>
      </c>
      <c r="H92" s="2">
        <v>4</v>
      </c>
      <c r="I92" s="7">
        <v>0</v>
      </c>
      <c r="J92" t="str">
        <f>_xlfn.XLOOKUP(F92,'PRODUCTS A'!A:A,'PRODUCTS A'!B:B,"Not Found")</f>
        <v>External Drive</v>
      </c>
      <c r="K92" t="str">
        <f>_xlfn.XLOOKUP(J92,'PRODUCTS A'!B:B,'PRODUCTS A'!C:C,"Not Found")</f>
        <v>Electronics</v>
      </c>
      <c r="L92" s="9">
        <f>_xlfn.XLOOKUP(J92,'PRODUCTS A'!B:B,'PRODUCTS A'!D:D,"Not Found")</f>
        <v>75000</v>
      </c>
      <c r="M92" s="10">
        <f t="shared" si="3"/>
        <v>300000</v>
      </c>
    </row>
    <row r="93" spans="1:13" x14ac:dyDescent="0.25">
      <c r="A93" t="str">
        <f>_xlfn.XLOOKUP(E93,'CUSTOMERS A'!A:A,'CUSTOMERS A'!B:B,"Not Found")</f>
        <v>Mercy John</v>
      </c>
      <c r="B93" t="str">
        <f>_xlfn.XLOOKUP(A93,'CUSTOMERS A'!B:B,'CUSTOMERS A'!C:C,"Not Found")</f>
        <v>Benin City</v>
      </c>
      <c r="C93" t="str">
        <f>_xlfn.XLOOKUP(A93,'CUSTOMERS A'!B:B,'CUSTOMERS A'!D:D,"Not Found")</f>
        <v>Wholesale</v>
      </c>
      <c r="D93" t="s">
        <v>241</v>
      </c>
      <c r="E93" t="s">
        <v>107</v>
      </c>
      <c r="F93" t="s">
        <v>24</v>
      </c>
      <c r="G93" s="19">
        <v>46156</v>
      </c>
      <c r="H93" s="2">
        <v>5</v>
      </c>
      <c r="I93" s="7">
        <v>0</v>
      </c>
      <c r="J93" t="str">
        <f>_xlfn.XLOOKUP(F93,'PRODUCTS A'!A:A,'PRODUCTS A'!B:B,"Not Found")</f>
        <v>Keyboard</v>
      </c>
      <c r="K93" t="str">
        <f>_xlfn.XLOOKUP(J93,'PRODUCTS A'!B:B,'PRODUCTS A'!C:C,"Not Found")</f>
        <v>Accessories</v>
      </c>
      <c r="L93" s="9">
        <f>_xlfn.XLOOKUP(J93,'PRODUCTS A'!B:B,'PRODUCTS A'!D:D,"Not Found")</f>
        <v>15000</v>
      </c>
      <c r="M93" s="10">
        <f t="shared" si="3"/>
        <v>75000</v>
      </c>
    </row>
    <row r="94" spans="1:13" x14ac:dyDescent="0.25">
      <c r="A94" t="str">
        <f>_xlfn.XLOOKUP(E94,'CUSTOMERS A'!A:A,'CUSTOMERS A'!B:B,"Not Found")</f>
        <v>Samuel Adeyemi</v>
      </c>
      <c r="B94" t="str">
        <f>_xlfn.XLOOKUP(A94,'CUSTOMERS A'!B:B,'CUSTOMERS A'!C:C,"Not Found")</f>
        <v>Ibadan</v>
      </c>
      <c r="C94" t="str">
        <f>_xlfn.XLOOKUP(A94,'CUSTOMERS A'!B:B,'CUSTOMERS A'!D:D,"Not Found")</f>
        <v>Wholesale</v>
      </c>
      <c r="D94" t="s">
        <v>242</v>
      </c>
      <c r="E94" t="s">
        <v>71</v>
      </c>
      <c r="F94" t="s">
        <v>47</v>
      </c>
      <c r="G94" s="19">
        <v>46188</v>
      </c>
      <c r="H94" s="2">
        <v>1</v>
      </c>
      <c r="I94" s="7">
        <v>0</v>
      </c>
      <c r="J94" t="str">
        <f>_xlfn.XLOOKUP(F94,'PRODUCTS A'!A:A,'PRODUCTS A'!B:B,"Not Found")</f>
        <v>Office Chair</v>
      </c>
      <c r="K94" t="str">
        <f>_xlfn.XLOOKUP(J94,'PRODUCTS A'!B:B,'PRODUCTS A'!C:C,"Not Found")</f>
        <v>Furniture</v>
      </c>
      <c r="L94" s="9">
        <f>_xlfn.XLOOKUP(J94,'PRODUCTS A'!B:B,'PRODUCTS A'!D:D,"Not Found")</f>
        <v>95000</v>
      </c>
      <c r="M94" s="10">
        <f t="shared" si="3"/>
        <v>95000</v>
      </c>
    </row>
    <row r="95" spans="1:13" x14ac:dyDescent="0.25">
      <c r="A95" t="str">
        <f>_xlfn.XLOOKUP(E95,'CUSTOMERS A'!A:A,'CUSTOMERS A'!B:B,"Not Found")</f>
        <v>Joy Akpan</v>
      </c>
      <c r="B95" t="str">
        <f>_xlfn.XLOOKUP(A95,'CUSTOMERS A'!B:B,'CUSTOMERS A'!C:C,"Not Found")</f>
        <v>Uyo</v>
      </c>
      <c r="C95" t="str">
        <f>_xlfn.XLOOKUP(A95,'CUSTOMERS A'!B:B,'CUSTOMERS A'!D:D,"Not Found")</f>
        <v>Retail</v>
      </c>
      <c r="D95" t="s">
        <v>243</v>
      </c>
      <c r="E95" t="s">
        <v>103</v>
      </c>
      <c r="F95" t="s">
        <v>58</v>
      </c>
      <c r="G95" s="19">
        <v>46038</v>
      </c>
      <c r="H95" s="2">
        <v>2</v>
      </c>
      <c r="I95" s="7">
        <v>0</v>
      </c>
      <c r="J95" t="str">
        <f>_xlfn.XLOOKUP(F95,'PRODUCTS A'!A:A,'PRODUCTS A'!B:B,"Not Found")</f>
        <v>Tablet</v>
      </c>
      <c r="K95" t="str">
        <f>_xlfn.XLOOKUP(J95,'PRODUCTS A'!B:B,'PRODUCTS A'!C:C,"Not Found")</f>
        <v>Electronics</v>
      </c>
      <c r="L95" s="9">
        <f>_xlfn.XLOOKUP(J95,'PRODUCTS A'!B:B,'PRODUCTS A'!D:D,"Not Found")</f>
        <v>220000</v>
      </c>
      <c r="M95" s="10">
        <f t="shared" si="3"/>
        <v>440000</v>
      </c>
    </row>
    <row r="96" spans="1:13" x14ac:dyDescent="0.25">
      <c r="A96" t="str">
        <f>_xlfn.XLOOKUP(E96,'CUSTOMERS A'!A:A,'CUSTOMERS A'!B:B,"Not Found")</f>
        <v>Tunde Adebayo</v>
      </c>
      <c r="B96" t="str">
        <f>_xlfn.XLOOKUP(A96,'CUSTOMERS A'!B:B,'CUSTOMERS A'!C:C,"Not Found")</f>
        <v>Ibadan</v>
      </c>
      <c r="C96" t="str">
        <f>_xlfn.XLOOKUP(A96,'CUSTOMERS A'!B:B,'CUSTOMERS A'!D:D,"Not Found")</f>
        <v>Corporate</v>
      </c>
      <c r="D96" t="s">
        <v>244</v>
      </c>
      <c r="E96" t="s">
        <v>121</v>
      </c>
      <c r="F96" t="s">
        <v>17</v>
      </c>
      <c r="G96" s="19">
        <v>46070</v>
      </c>
      <c r="H96" s="2">
        <v>3</v>
      </c>
      <c r="I96" s="7">
        <v>0</v>
      </c>
      <c r="J96" t="str">
        <f>_xlfn.XLOOKUP(F96,'PRODUCTS A'!A:A,'PRODUCTS A'!B:B,"Not Found")</f>
        <v>Monitor</v>
      </c>
      <c r="K96" t="str">
        <f>_xlfn.XLOOKUP(J96,'PRODUCTS A'!B:B,'PRODUCTS A'!C:C,"Not Found")</f>
        <v>Electronics</v>
      </c>
      <c r="L96" s="9">
        <f>_xlfn.XLOOKUP(J96,'PRODUCTS A'!B:B,'PRODUCTS A'!D:D,"Not Found")</f>
        <v>180000</v>
      </c>
      <c r="M96" s="10">
        <f t="shared" si="3"/>
        <v>540000</v>
      </c>
    </row>
    <row r="97" spans="1:13" x14ac:dyDescent="0.25">
      <c r="A97" t="str">
        <f>_xlfn.XLOOKUP(E97,'CUSTOMERS A'!A:A,'CUSTOMERS A'!B:B,"Not Found")</f>
        <v>Fatima Musa</v>
      </c>
      <c r="B97" t="str">
        <f>_xlfn.XLOOKUP(A97,'CUSTOMERS A'!B:B,'CUSTOMERS A'!C:C,"Not Found")</f>
        <v>Kaduna</v>
      </c>
      <c r="C97" t="str">
        <f>_xlfn.XLOOKUP(A97,'CUSTOMERS A'!B:B,'CUSTOMERS A'!D:D,"Not Found")</f>
        <v>Retail</v>
      </c>
      <c r="D97" t="s">
        <v>245</v>
      </c>
      <c r="E97" t="s">
        <v>79</v>
      </c>
      <c r="F97" t="s">
        <v>40</v>
      </c>
      <c r="G97" s="19">
        <v>46099</v>
      </c>
      <c r="H97" s="2">
        <v>4</v>
      </c>
      <c r="I97" s="7">
        <v>0.05</v>
      </c>
      <c r="J97" t="str">
        <f>_xlfn.XLOOKUP(F97,'PRODUCTS A'!A:A,'PRODUCTS A'!B:B,"Not Found")</f>
        <v>Printer</v>
      </c>
      <c r="K97" t="str">
        <f>_xlfn.XLOOKUP(J97,'PRODUCTS A'!B:B,'PRODUCTS A'!C:C,"Not Found")</f>
        <v>Office Equipment</v>
      </c>
      <c r="L97" s="9">
        <f>_xlfn.XLOOKUP(J97,'PRODUCTS A'!B:B,'PRODUCTS A'!D:D,"Not Found")</f>
        <v>120000</v>
      </c>
      <c r="M97" s="10">
        <f t="shared" si="3"/>
        <v>456000</v>
      </c>
    </row>
    <row r="98" spans="1:13" x14ac:dyDescent="0.25">
      <c r="A98" t="str">
        <f>_xlfn.XLOOKUP(E98,'CUSTOMERS A'!A:A,'CUSTOMERS A'!B:B,"Not Found")</f>
        <v>Michael Joseph</v>
      </c>
      <c r="B98" t="str">
        <f>_xlfn.XLOOKUP(A98,'CUSTOMERS A'!B:B,'CUSTOMERS A'!C:C,"Not Found")</f>
        <v>Calabar</v>
      </c>
      <c r="C98" t="str">
        <f>_xlfn.XLOOKUP(A98,'CUSTOMERS A'!B:B,'CUSTOMERS A'!D:D,"Not Found")</f>
        <v>Wholesale</v>
      </c>
      <c r="D98" t="s">
        <v>246</v>
      </c>
      <c r="E98" t="s">
        <v>109</v>
      </c>
      <c r="F98" t="s">
        <v>62</v>
      </c>
      <c r="G98" s="19">
        <v>46131</v>
      </c>
      <c r="H98" s="2">
        <v>5</v>
      </c>
      <c r="I98" s="7">
        <v>0.1</v>
      </c>
      <c r="J98" t="str">
        <f>_xlfn.XLOOKUP(F98,'PRODUCTS A'!A:A,'PRODUCTS A'!B:B,"Not Found")</f>
        <v>Headset</v>
      </c>
      <c r="K98" t="str">
        <f>_xlfn.XLOOKUP(J98,'PRODUCTS A'!B:B,'PRODUCTS A'!C:C,"Not Found")</f>
        <v>Accessories</v>
      </c>
      <c r="L98" s="9">
        <f>_xlfn.XLOOKUP(J98,'PRODUCTS A'!B:B,'PRODUCTS A'!D:D,"Not Found")</f>
        <v>25000</v>
      </c>
      <c r="M98" s="10">
        <f t="shared" si="3"/>
        <v>112500</v>
      </c>
    </row>
    <row r="99" spans="1:13" x14ac:dyDescent="0.25">
      <c r="A99" t="str">
        <f>_xlfn.XLOOKUP(E99,'CUSTOMERS A'!A:A,'CUSTOMERS A'!B:B,"Not Found")</f>
        <v>Aisha Bello</v>
      </c>
      <c r="B99" t="str">
        <f>_xlfn.XLOOKUP(A99,'CUSTOMERS A'!B:B,'CUSTOMERS A'!C:C,"Not Found")</f>
        <v>Lagos</v>
      </c>
      <c r="C99" t="str">
        <f>_xlfn.XLOOKUP(A99,'CUSTOMERS A'!B:B,'CUSTOMERS A'!D:D,"Not Found")</f>
        <v>Retail</v>
      </c>
      <c r="D99" t="s">
        <v>247</v>
      </c>
      <c r="E99" t="s">
        <v>32</v>
      </c>
      <c r="F99" t="s">
        <v>12</v>
      </c>
      <c r="G99" s="19">
        <v>46162</v>
      </c>
      <c r="H99" s="2">
        <v>1</v>
      </c>
      <c r="I99" s="7">
        <v>0</v>
      </c>
      <c r="J99" t="str">
        <f>_xlfn.XLOOKUP(F99,'PRODUCTS A'!A:A,'PRODUCTS A'!B:B,"Not Found")</f>
        <v>Laptop</v>
      </c>
      <c r="K99" t="str">
        <f>_xlfn.XLOOKUP(J99,'PRODUCTS A'!B:B,'PRODUCTS A'!C:C,"Not Found")</f>
        <v>Electronics</v>
      </c>
      <c r="L99" s="9">
        <f>_xlfn.XLOOKUP(J99,'PRODUCTS A'!B:B,'PRODUCTS A'!D:D,"Not Found")</f>
        <v>450000</v>
      </c>
      <c r="M99" s="10">
        <f t="shared" si="3"/>
        <v>450000</v>
      </c>
    </row>
    <row r="100" spans="1:13" x14ac:dyDescent="0.25">
      <c r="A100" t="str">
        <f>_xlfn.XLOOKUP(E100,'CUSTOMERS A'!A:A,'CUSTOMERS A'!B:B,"Not Found")</f>
        <v>Emeka Nwosu</v>
      </c>
      <c r="B100" t="str">
        <f>_xlfn.XLOOKUP(A100,'CUSTOMERS A'!B:B,'CUSTOMERS A'!C:C,"Not Found")</f>
        <v>Enugu</v>
      </c>
      <c r="C100" t="str">
        <f>_xlfn.XLOOKUP(A100,'CUSTOMERS A'!B:B,'CUSTOMERS A'!D:D,"Not Found")</f>
        <v>Corporate</v>
      </c>
      <c r="D100" t="s">
        <v>248</v>
      </c>
      <c r="E100" t="s">
        <v>10</v>
      </c>
      <c r="F100" t="s">
        <v>11</v>
      </c>
      <c r="G100" s="19">
        <v>46194</v>
      </c>
      <c r="H100" s="2">
        <v>2</v>
      </c>
      <c r="I100" s="7">
        <v>0</v>
      </c>
      <c r="J100" t="str">
        <f>_xlfn.XLOOKUP(F100,'PRODUCTS A'!A:A,'PRODUCTS A'!B:B,"Not Found")</f>
        <v>Mouse</v>
      </c>
      <c r="K100" t="str">
        <f>_xlfn.XLOOKUP(J100,'PRODUCTS A'!B:B,'PRODUCTS A'!C:C,"Not Found")</f>
        <v>Accessories</v>
      </c>
      <c r="L100" s="9">
        <f>_xlfn.XLOOKUP(J100,'PRODUCTS A'!B:B,'PRODUCTS A'!D:D,"Not Found")</f>
        <v>8000</v>
      </c>
      <c r="M100" s="10">
        <f t="shared" si="3"/>
        <v>16000</v>
      </c>
    </row>
    <row r="101" spans="1:13" x14ac:dyDescent="0.25">
      <c r="A101" t="str">
        <f>_xlfn.XLOOKUP(E101,'CUSTOMERS A'!A:A,'CUSTOMERS A'!B:B,"Not Found")</f>
        <v>Ruth Daniel</v>
      </c>
      <c r="B101" t="str">
        <f>_xlfn.XLOOKUP(A101,'CUSTOMERS A'!B:B,'CUSTOMERS A'!C:C,"Not Found")</f>
        <v>Lagos</v>
      </c>
      <c r="C101" t="str">
        <f>_xlfn.XLOOKUP(A101,'CUSTOMERS A'!B:B,'CUSTOMERS A'!D:D,"Not Found")</f>
        <v>Corporate</v>
      </c>
      <c r="D101" t="s">
        <v>249</v>
      </c>
      <c r="E101" t="s">
        <v>19</v>
      </c>
      <c r="F101" t="s">
        <v>21</v>
      </c>
      <c r="G101" s="19">
        <v>46044</v>
      </c>
      <c r="H101" s="2">
        <v>3</v>
      </c>
      <c r="I101" s="7">
        <v>0</v>
      </c>
      <c r="J101" t="str">
        <f>_xlfn.XLOOKUP(F101,'PRODUCTS A'!A:A,'PRODUCTS A'!B:B,"Not Found")</f>
        <v>Desk</v>
      </c>
      <c r="K101" t="str">
        <f>_xlfn.XLOOKUP(J101,'PRODUCTS A'!B:B,'PRODUCTS A'!C:C,"Not Found")</f>
        <v>Furniture</v>
      </c>
      <c r="L101" s="9">
        <f>_xlfn.XLOOKUP(J101,'PRODUCTS A'!B:B,'PRODUCTS A'!D:D,"Not Found")</f>
        <v>140000</v>
      </c>
      <c r="M101" s="10">
        <f t="shared" si="3"/>
        <v>420000</v>
      </c>
    </row>
    <row r="102" spans="1:13" x14ac:dyDescent="0.25">
      <c r="A102" t="str">
        <f>_xlfn.XLOOKUP(E102,'CUSTOMERS A'!A:A,'CUSTOMERS A'!B:B,"Not Found")</f>
        <v>Daniel Okafor</v>
      </c>
      <c r="B102" t="str">
        <f>_xlfn.XLOOKUP(A102,'CUSTOMERS A'!B:B,'CUSTOMERS A'!C:C,"Not Found")</f>
        <v>Abuja</v>
      </c>
      <c r="C102" t="str">
        <f>_xlfn.XLOOKUP(A102,'CUSTOMERS A'!B:B,'CUSTOMERS A'!D:D,"Not Found")</f>
        <v>Corporate</v>
      </c>
      <c r="D102" t="s">
        <v>250</v>
      </c>
      <c r="E102" t="s">
        <v>29</v>
      </c>
      <c r="F102" t="s">
        <v>30</v>
      </c>
      <c r="G102" s="19">
        <v>46076</v>
      </c>
      <c r="H102" s="2">
        <v>4</v>
      </c>
      <c r="I102" s="7">
        <v>0</v>
      </c>
      <c r="J102" t="str">
        <f>_xlfn.XLOOKUP(F102,'PRODUCTS A'!A:A,'PRODUCTS A'!B:B,"Not Found")</f>
        <v>External Drive</v>
      </c>
      <c r="K102" t="str">
        <f>_xlfn.XLOOKUP(J102,'PRODUCTS A'!B:B,'PRODUCTS A'!C:C,"Not Found")</f>
        <v>Electronics</v>
      </c>
      <c r="L102" s="9">
        <f>_xlfn.XLOOKUP(J102,'PRODUCTS A'!B:B,'PRODUCTS A'!D:D,"Not Found")</f>
        <v>75000</v>
      </c>
      <c r="M102" s="10">
        <f t="shared" si="3"/>
        <v>300000</v>
      </c>
    </row>
    <row r="103" spans="1:13" x14ac:dyDescent="0.25">
      <c r="A103" t="str">
        <f>_xlfn.XLOOKUP(E103,'CUSTOMERS A'!A:A,'CUSTOMERS A'!B:B,"Not Found")</f>
        <v>Blessing Ojo</v>
      </c>
      <c r="B103" t="str">
        <f>_xlfn.XLOOKUP(A103,'CUSTOMERS A'!B:B,'CUSTOMERS A'!C:C,"Not Found")</f>
        <v>Lagos</v>
      </c>
      <c r="C103" t="str">
        <f>_xlfn.XLOOKUP(A103,'CUSTOMERS A'!B:B,'CUSTOMERS A'!D:D,"Not Found")</f>
        <v>Wholesale</v>
      </c>
      <c r="D103" t="s">
        <v>251</v>
      </c>
      <c r="E103" t="s">
        <v>36</v>
      </c>
      <c r="F103" t="s">
        <v>24</v>
      </c>
      <c r="G103" s="19">
        <v>46105</v>
      </c>
      <c r="H103" s="2">
        <v>5</v>
      </c>
      <c r="I103" s="7">
        <v>0</v>
      </c>
      <c r="J103" t="str">
        <f>_xlfn.XLOOKUP(F103,'PRODUCTS A'!A:A,'PRODUCTS A'!B:B,"Not Found")</f>
        <v>Keyboard</v>
      </c>
      <c r="K103" t="str">
        <f>_xlfn.XLOOKUP(J103,'PRODUCTS A'!B:B,'PRODUCTS A'!C:C,"Not Found")</f>
        <v>Accessories</v>
      </c>
      <c r="L103" s="9">
        <f>_xlfn.XLOOKUP(J103,'PRODUCTS A'!B:B,'PRODUCTS A'!D:D,"Not Found")</f>
        <v>15000</v>
      </c>
      <c r="M103" s="10">
        <f t="shared" si="3"/>
        <v>75000</v>
      </c>
    </row>
    <row r="104" spans="1:13" x14ac:dyDescent="0.25">
      <c r="A104" t="str">
        <f>_xlfn.XLOOKUP(E104,'CUSTOMERS A'!A:A,'CUSTOMERS A'!B:B,"Not Found")</f>
        <v>Peter Williams</v>
      </c>
      <c r="B104" t="str">
        <f>_xlfn.XLOOKUP(A104,'CUSTOMERS A'!B:B,'CUSTOMERS A'!C:C,"Not Found")</f>
        <v>Abeokuta</v>
      </c>
      <c r="C104" t="str">
        <f>_xlfn.XLOOKUP(A104,'CUSTOMERS A'!B:B,'CUSTOMERS A'!D:D,"Not Found")</f>
        <v>Retail</v>
      </c>
      <c r="D104" t="s">
        <v>252</v>
      </c>
      <c r="E104" t="s">
        <v>49</v>
      </c>
      <c r="F104" t="s">
        <v>47</v>
      </c>
      <c r="G104" s="19">
        <v>46137</v>
      </c>
      <c r="H104" s="2">
        <v>1</v>
      </c>
      <c r="I104" s="7">
        <v>0.05</v>
      </c>
      <c r="J104" t="str">
        <f>_xlfn.XLOOKUP(F104,'PRODUCTS A'!A:A,'PRODUCTS A'!B:B,"Not Found")</f>
        <v>Office Chair</v>
      </c>
      <c r="K104" t="str">
        <f>_xlfn.XLOOKUP(J104,'PRODUCTS A'!B:B,'PRODUCTS A'!C:C,"Not Found")</f>
        <v>Furniture</v>
      </c>
      <c r="L104" s="9">
        <f>_xlfn.XLOOKUP(J104,'PRODUCTS A'!B:B,'PRODUCTS A'!D:D,"Not Found")</f>
        <v>95000</v>
      </c>
      <c r="M104" s="10">
        <f t="shared" si="3"/>
        <v>90250</v>
      </c>
    </row>
    <row r="105" spans="1:13" x14ac:dyDescent="0.25">
      <c r="A105" t="str">
        <f>_xlfn.XLOOKUP(E105,'CUSTOMERS A'!A:A,'CUSTOMERS A'!B:B,"Not Found")</f>
        <v>Mariam Yusuf</v>
      </c>
      <c r="B105" t="str">
        <f>_xlfn.XLOOKUP(A105,'CUSTOMERS A'!B:B,'CUSTOMERS A'!C:C,"Not Found")</f>
        <v>Kano</v>
      </c>
      <c r="C105" t="str">
        <f>_xlfn.XLOOKUP(A105,'CUSTOMERS A'!B:B,'CUSTOMERS A'!D:D,"Not Found")</f>
        <v>Retail</v>
      </c>
      <c r="D105" t="s">
        <v>253</v>
      </c>
      <c r="E105" t="s">
        <v>50</v>
      </c>
      <c r="F105" t="s">
        <v>58</v>
      </c>
      <c r="G105" s="19">
        <v>46168</v>
      </c>
      <c r="H105" s="2">
        <v>2</v>
      </c>
      <c r="I105" s="7">
        <v>0</v>
      </c>
      <c r="J105" t="str">
        <f>_xlfn.XLOOKUP(F105,'PRODUCTS A'!A:A,'PRODUCTS A'!B:B,"Not Found")</f>
        <v>Tablet</v>
      </c>
      <c r="K105" t="str">
        <f>_xlfn.XLOOKUP(J105,'PRODUCTS A'!B:B,'PRODUCTS A'!C:C,"Not Found")</f>
        <v>Electronics</v>
      </c>
      <c r="L105" s="9">
        <f>_xlfn.XLOOKUP(J105,'PRODUCTS A'!B:B,'PRODUCTS A'!D:D,"Not Found")</f>
        <v>220000</v>
      </c>
      <c r="M105" s="10">
        <f t="shared" si="3"/>
        <v>440000</v>
      </c>
    </row>
    <row r="106" spans="1:13" x14ac:dyDescent="0.25">
      <c r="A106" t="str">
        <f>_xlfn.XLOOKUP(E106,'CUSTOMERS A'!A:A,'CUSTOMERS A'!B:B,"Not Found")</f>
        <v>Ibrahim Sani</v>
      </c>
      <c r="B106" t="str">
        <f>_xlfn.XLOOKUP(A106,'CUSTOMERS A'!B:B,'CUSTOMERS A'!C:C,"Not Found")</f>
        <v>Abuja</v>
      </c>
      <c r="C106" t="str">
        <f>_xlfn.XLOOKUP(A106,'CUSTOMERS A'!B:B,'CUSTOMERS A'!D:D,"Not Found")</f>
        <v>Retail</v>
      </c>
      <c r="D106" t="s">
        <v>254</v>
      </c>
      <c r="E106" t="s">
        <v>66</v>
      </c>
      <c r="F106" t="s">
        <v>17</v>
      </c>
      <c r="G106" s="19">
        <v>46200</v>
      </c>
      <c r="H106" s="2">
        <v>3</v>
      </c>
      <c r="I106" s="7">
        <v>0</v>
      </c>
      <c r="J106" t="str">
        <f>_xlfn.XLOOKUP(F106,'PRODUCTS A'!A:A,'PRODUCTS A'!B:B,"Not Found")</f>
        <v>Monitor</v>
      </c>
      <c r="K106" t="str">
        <f>_xlfn.XLOOKUP(J106,'PRODUCTS A'!B:B,'PRODUCTS A'!C:C,"Not Found")</f>
        <v>Electronics</v>
      </c>
      <c r="L106" s="9">
        <f>_xlfn.XLOOKUP(J106,'PRODUCTS A'!B:B,'PRODUCTS A'!D:D,"Not Found")</f>
        <v>180000</v>
      </c>
      <c r="M106" s="10">
        <f t="shared" si="3"/>
        <v>540000</v>
      </c>
    </row>
    <row r="107" spans="1:13" x14ac:dyDescent="0.25">
      <c r="A107" t="str">
        <f>_xlfn.XLOOKUP(E107,'CUSTOMERS A'!A:A,'CUSTOMERS A'!B:B,"Not Found")</f>
        <v>Hauwa Ali</v>
      </c>
      <c r="B107" t="str">
        <f>_xlfn.XLOOKUP(A107,'CUSTOMERS A'!B:B,'CUSTOMERS A'!C:C,"Not Found")</f>
        <v>Kano</v>
      </c>
      <c r="C107" t="str">
        <f>_xlfn.XLOOKUP(A107,'CUSTOMERS A'!B:B,'CUSTOMERS A'!D:D,"Not Found")</f>
        <v>Corporate</v>
      </c>
      <c r="D107" t="s">
        <v>255</v>
      </c>
      <c r="E107" t="s">
        <v>75</v>
      </c>
      <c r="F107" t="s">
        <v>40</v>
      </c>
      <c r="G107" s="19">
        <v>46023</v>
      </c>
      <c r="H107" s="2">
        <v>4</v>
      </c>
      <c r="I107" s="7">
        <v>0</v>
      </c>
      <c r="J107" t="str">
        <f>_xlfn.XLOOKUP(F107,'PRODUCTS A'!A:A,'PRODUCTS A'!B:B,"Not Found")</f>
        <v>Printer</v>
      </c>
      <c r="K107" t="str">
        <f>_xlfn.XLOOKUP(J107,'PRODUCTS A'!B:B,'PRODUCTS A'!C:C,"Not Found")</f>
        <v>Office Equipment</v>
      </c>
      <c r="L107" s="9">
        <f>_xlfn.XLOOKUP(J107,'PRODUCTS A'!B:B,'PRODUCTS A'!D:D,"Not Found")</f>
        <v>120000</v>
      </c>
      <c r="M107" s="10">
        <f t="shared" si="3"/>
        <v>480000</v>
      </c>
    </row>
    <row r="108" spans="1:13" x14ac:dyDescent="0.25">
      <c r="A108" t="str">
        <f>_xlfn.XLOOKUP(E108,'CUSTOMERS A'!A:A,'CUSTOMERS A'!B:B,"Not Found")</f>
        <v>Chinedu Obi</v>
      </c>
      <c r="B108" t="str">
        <f>_xlfn.XLOOKUP(A108,'CUSTOMERS A'!B:B,'CUSTOMERS A'!C:C,"Not Found")</f>
        <v>Port Harcourt</v>
      </c>
      <c r="C108" t="str">
        <f>_xlfn.XLOOKUP(A108,'CUSTOMERS A'!B:B,'CUSTOMERS A'!D:D,"Not Found")</f>
        <v>Corporate</v>
      </c>
      <c r="D108" t="s">
        <v>256</v>
      </c>
      <c r="E108" t="s">
        <v>57</v>
      </c>
      <c r="F108" t="s">
        <v>62</v>
      </c>
      <c r="G108" s="19">
        <v>46055</v>
      </c>
      <c r="H108" s="2">
        <v>5</v>
      </c>
      <c r="I108" s="7">
        <v>0</v>
      </c>
      <c r="J108" t="str">
        <f>_xlfn.XLOOKUP(F108,'PRODUCTS A'!A:A,'PRODUCTS A'!B:B,"Not Found")</f>
        <v>Headset</v>
      </c>
      <c r="K108" t="str">
        <f>_xlfn.XLOOKUP(J108,'PRODUCTS A'!B:B,'PRODUCTS A'!C:C,"Not Found")</f>
        <v>Accessories</v>
      </c>
      <c r="L108" s="9">
        <f>_xlfn.XLOOKUP(J108,'PRODUCTS A'!B:B,'PRODUCTS A'!D:D,"Not Found")</f>
        <v>25000</v>
      </c>
      <c r="M108" s="10">
        <f t="shared" si="3"/>
        <v>125000</v>
      </c>
    </row>
    <row r="109" spans="1:13" x14ac:dyDescent="0.25">
      <c r="A109" t="str">
        <f>_xlfn.XLOOKUP(E109,'CUSTOMERS A'!A:A,'CUSTOMERS A'!B:B,"Not Found")</f>
        <v>Esther James</v>
      </c>
      <c r="B109" t="str">
        <f>_xlfn.XLOOKUP(A109,'CUSTOMERS A'!B:B,'CUSTOMERS A'!C:C,"Not Found")</f>
        <v>Warri</v>
      </c>
      <c r="C109" t="str">
        <f>_xlfn.XLOOKUP(A109,'CUSTOMERS A'!B:B,'CUSTOMERS A'!D:D,"Not Found")</f>
        <v>Retail</v>
      </c>
      <c r="D109" t="s">
        <v>257</v>
      </c>
      <c r="E109" t="s">
        <v>94</v>
      </c>
      <c r="F109" t="s">
        <v>12</v>
      </c>
      <c r="G109" s="19">
        <v>46084</v>
      </c>
      <c r="H109" s="2">
        <v>1</v>
      </c>
      <c r="I109" s="7">
        <v>0.1</v>
      </c>
      <c r="J109" t="str">
        <f>_xlfn.XLOOKUP(F109,'PRODUCTS A'!A:A,'PRODUCTS A'!B:B,"Not Found")</f>
        <v>Laptop</v>
      </c>
      <c r="K109" t="str">
        <f>_xlfn.XLOOKUP(J109,'PRODUCTS A'!B:B,'PRODUCTS A'!C:C,"Not Found")</f>
        <v>Electronics</v>
      </c>
      <c r="L109" s="9">
        <f>_xlfn.XLOOKUP(J109,'PRODUCTS A'!B:B,'PRODUCTS A'!D:D,"Not Found")</f>
        <v>450000</v>
      </c>
      <c r="M109" s="10">
        <f t="shared" si="3"/>
        <v>405000</v>
      </c>
    </row>
    <row r="110" spans="1:13" x14ac:dyDescent="0.25">
      <c r="A110" t="str">
        <f>_xlfn.XLOOKUP(E110,'CUSTOMERS A'!A:A,'CUSTOMERS A'!B:B,"Not Found")</f>
        <v>Kelvin George</v>
      </c>
      <c r="B110" t="str">
        <f>_xlfn.XLOOKUP(A110,'CUSTOMERS A'!B:B,'CUSTOMERS A'!C:C,"Not Found")</f>
        <v>Port Harcourt</v>
      </c>
      <c r="C110" t="str">
        <f>_xlfn.XLOOKUP(A110,'CUSTOMERS A'!B:B,'CUSTOMERS A'!D:D,"Not Found")</f>
        <v>Retail</v>
      </c>
      <c r="D110" t="s">
        <v>258</v>
      </c>
      <c r="E110" t="s">
        <v>91</v>
      </c>
      <c r="F110" t="s">
        <v>11</v>
      </c>
      <c r="G110" s="19">
        <v>46116</v>
      </c>
      <c r="H110" s="2">
        <v>2</v>
      </c>
      <c r="I110" s="7">
        <v>0</v>
      </c>
      <c r="J110" t="str">
        <f>_xlfn.XLOOKUP(F110,'PRODUCTS A'!A:A,'PRODUCTS A'!B:B,"Not Found")</f>
        <v>Mouse</v>
      </c>
      <c r="K110" t="str">
        <f>_xlfn.XLOOKUP(J110,'PRODUCTS A'!B:B,'PRODUCTS A'!C:C,"Not Found")</f>
        <v>Accessories</v>
      </c>
      <c r="L110" s="9">
        <f>_xlfn.XLOOKUP(J110,'PRODUCTS A'!B:B,'PRODUCTS A'!D:D,"Not Found")</f>
        <v>8000</v>
      </c>
      <c r="M110" s="10">
        <f t="shared" si="3"/>
        <v>16000</v>
      </c>
    </row>
    <row r="111" spans="1:13" x14ac:dyDescent="0.25">
      <c r="A111" t="str">
        <f>_xlfn.XLOOKUP(E111,'CUSTOMERS A'!A:A,'CUSTOMERS A'!B:B,"Not Found")</f>
        <v>Grace Eze</v>
      </c>
      <c r="B111" t="str">
        <f>_xlfn.XLOOKUP(A111,'CUSTOMERS A'!B:B,'CUSTOMERS A'!C:C,"Not Found")</f>
        <v>Benin City</v>
      </c>
      <c r="C111" t="str">
        <f>_xlfn.XLOOKUP(A111,'CUSTOMERS A'!B:B,'CUSTOMERS A'!D:D,"Not Found")</f>
        <v>Retail</v>
      </c>
      <c r="D111" t="s">
        <v>259</v>
      </c>
      <c r="E111" t="s">
        <v>65</v>
      </c>
      <c r="F111" t="s">
        <v>21</v>
      </c>
      <c r="G111" s="19">
        <v>46147</v>
      </c>
      <c r="H111" s="2">
        <v>3</v>
      </c>
      <c r="I111" s="7">
        <v>0.05</v>
      </c>
      <c r="J111" t="str">
        <f>_xlfn.XLOOKUP(F111,'PRODUCTS A'!A:A,'PRODUCTS A'!B:B,"Not Found")</f>
        <v>Desk</v>
      </c>
      <c r="K111" t="str">
        <f>_xlfn.XLOOKUP(J111,'PRODUCTS A'!B:B,'PRODUCTS A'!C:C,"Not Found")</f>
        <v>Furniture</v>
      </c>
      <c r="L111" s="9">
        <f>_xlfn.XLOOKUP(J111,'PRODUCTS A'!B:B,'PRODUCTS A'!D:D,"Not Found")</f>
        <v>140000</v>
      </c>
      <c r="M111" s="10">
        <f t="shared" si="3"/>
        <v>399000</v>
      </c>
    </row>
    <row r="112" spans="1:13" x14ac:dyDescent="0.25">
      <c r="A112" t="str">
        <f>_xlfn.XLOOKUP(E112,'CUSTOMERS A'!A:A,'CUSTOMERS A'!B:B,"Not Found")</f>
        <v>David Umeh</v>
      </c>
      <c r="B112" t="str">
        <f>_xlfn.XLOOKUP(A112,'CUSTOMERS A'!B:B,'CUSTOMERS A'!C:C,"Not Found")</f>
        <v>Asaba</v>
      </c>
      <c r="C112" t="str">
        <f>_xlfn.XLOOKUP(A112,'CUSTOMERS A'!B:B,'CUSTOMERS A'!D:D,"Not Found")</f>
        <v>Corporate</v>
      </c>
      <c r="D112" t="s">
        <v>260</v>
      </c>
      <c r="E112" t="s">
        <v>98</v>
      </c>
      <c r="F112" t="s">
        <v>30</v>
      </c>
      <c r="G112" s="19">
        <v>46179</v>
      </c>
      <c r="H112" s="2">
        <v>4</v>
      </c>
      <c r="I112" s="7">
        <v>0</v>
      </c>
      <c r="J112" t="str">
        <f>_xlfn.XLOOKUP(F112,'PRODUCTS A'!A:A,'PRODUCTS A'!B:B,"Not Found")</f>
        <v>External Drive</v>
      </c>
      <c r="K112" t="str">
        <f>_xlfn.XLOOKUP(J112,'PRODUCTS A'!B:B,'PRODUCTS A'!C:C,"Not Found")</f>
        <v>Electronics</v>
      </c>
      <c r="L112" s="9">
        <f>_xlfn.XLOOKUP(J112,'PRODUCTS A'!B:B,'PRODUCTS A'!D:D,"Not Found")</f>
        <v>75000</v>
      </c>
      <c r="M112" s="10">
        <f t="shared" ref="M112:M128" si="4">L112*H112*(1-I112)</f>
        <v>300000</v>
      </c>
    </row>
    <row r="113" spans="1:13" x14ac:dyDescent="0.25">
      <c r="A113" t="str">
        <f>_xlfn.XLOOKUP(E113,'CUSTOMERS A'!A:A,'CUSTOMERS A'!B:B,"Not Found")</f>
        <v>Mercy John</v>
      </c>
      <c r="B113" t="str">
        <f>_xlfn.XLOOKUP(A113,'CUSTOMERS A'!B:B,'CUSTOMERS A'!C:C,"Not Found")</f>
        <v>Benin City</v>
      </c>
      <c r="C113" t="str">
        <f>_xlfn.XLOOKUP(A113,'CUSTOMERS A'!B:B,'CUSTOMERS A'!D:D,"Not Found")</f>
        <v>Wholesale</v>
      </c>
      <c r="D113" t="s">
        <v>261</v>
      </c>
      <c r="E113" t="s">
        <v>107</v>
      </c>
      <c r="F113" t="s">
        <v>24</v>
      </c>
      <c r="G113" s="19">
        <v>46029</v>
      </c>
      <c r="H113" s="2">
        <v>5</v>
      </c>
      <c r="I113" s="7">
        <v>0</v>
      </c>
      <c r="J113" t="str">
        <f>_xlfn.XLOOKUP(F113,'PRODUCTS A'!A:A,'PRODUCTS A'!B:B,"Not Found")</f>
        <v>Keyboard</v>
      </c>
      <c r="K113" t="str">
        <f>_xlfn.XLOOKUP(J113,'PRODUCTS A'!B:B,'PRODUCTS A'!C:C,"Not Found")</f>
        <v>Accessories</v>
      </c>
      <c r="L113" s="9">
        <f>_xlfn.XLOOKUP(J113,'PRODUCTS A'!B:B,'PRODUCTS A'!D:D,"Not Found")</f>
        <v>15000</v>
      </c>
      <c r="M113" s="10">
        <f t="shared" si="4"/>
        <v>75000</v>
      </c>
    </row>
    <row r="114" spans="1:13" x14ac:dyDescent="0.25">
      <c r="A114" t="str">
        <f>_xlfn.XLOOKUP(E114,'CUSTOMERS A'!A:A,'CUSTOMERS A'!B:B,"Not Found")</f>
        <v>Samuel Adeyemi</v>
      </c>
      <c r="B114" t="str">
        <f>_xlfn.XLOOKUP(A114,'CUSTOMERS A'!B:B,'CUSTOMERS A'!C:C,"Not Found")</f>
        <v>Ibadan</v>
      </c>
      <c r="C114" t="str">
        <f>_xlfn.XLOOKUP(A114,'CUSTOMERS A'!B:B,'CUSTOMERS A'!D:D,"Not Found")</f>
        <v>Wholesale</v>
      </c>
      <c r="D114" t="s">
        <v>262</v>
      </c>
      <c r="E114" t="s">
        <v>71</v>
      </c>
      <c r="F114" t="s">
        <v>47</v>
      </c>
      <c r="G114" s="19">
        <v>46061</v>
      </c>
      <c r="H114" s="2">
        <v>1</v>
      </c>
      <c r="I114" s="7">
        <v>0</v>
      </c>
      <c r="J114" t="str">
        <f>_xlfn.XLOOKUP(F114,'PRODUCTS A'!A:A,'PRODUCTS A'!B:B,"Not Found")</f>
        <v>Office Chair</v>
      </c>
      <c r="K114" t="str">
        <f>_xlfn.XLOOKUP(J114,'PRODUCTS A'!B:B,'PRODUCTS A'!C:C,"Not Found")</f>
        <v>Furniture</v>
      </c>
      <c r="L114" s="9">
        <f>_xlfn.XLOOKUP(J114,'PRODUCTS A'!B:B,'PRODUCTS A'!D:D,"Not Found")</f>
        <v>95000</v>
      </c>
      <c r="M114" s="10">
        <f t="shared" si="4"/>
        <v>95000</v>
      </c>
    </row>
    <row r="115" spans="1:13" x14ac:dyDescent="0.25">
      <c r="A115" t="str">
        <f>_xlfn.XLOOKUP(E115,'CUSTOMERS A'!A:A,'CUSTOMERS A'!B:B,"Not Found")</f>
        <v>Joy Akpan</v>
      </c>
      <c r="B115" t="str">
        <f>_xlfn.XLOOKUP(A115,'CUSTOMERS A'!B:B,'CUSTOMERS A'!C:C,"Not Found")</f>
        <v>Uyo</v>
      </c>
      <c r="C115" t="str">
        <f>_xlfn.XLOOKUP(A115,'CUSTOMERS A'!B:B,'CUSTOMERS A'!D:D,"Not Found")</f>
        <v>Retail</v>
      </c>
      <c r="D115" t="s">
        <v>263</v>
      </c>
      <c r="E115" t="s">
        <v>103</v>
      </c>
      <c r="F115" t="s">
        <v>58</v>
      </c>
      <c r="G115" s="19">
        <v>46090</v>
      </c>
      <c r="H115" s="2">
        <v>2</v>
      </c>
      <c r="I115" s="7">
        <v>0</v>
      </c>
      <c r="J115" t="str">
        <f>_xlfn.XLOOKUP(F115,'PRODUCTS A'!A:A,'PRODUCTS A'!B:B,"Not Found")</f>
        <v>Tablet</v>
      </c>
      <c r="K115" t="str">
        <f>_xlfn.XLOOKUP(J115,'PRODUCTS A'!B:B,'PRODUCTS A'!C:C,"Not Found")</f>
        <v>Electronics</v>
      </c>
      <c r="L115" s="9">
        <f>_xlfn.XLOOKUP(J115,'PRODUCTS A'!B:B,'PRODUCTS A'!D:D,"Not Found")</f>
        <v>220000</v>
      </c>
      <c r="M115" s="10">
        <f t="shared" si="4"/>
        <v>440000</v>
      </c>
    </row>
    <row r="116" spans="1:13" x14ac:dyDescent="0.25">
      <c r="A116" t="str">
        <f>_xlfn.XLOOKUP(E116,'CUSTOMERS A'!A:A,'CUSTOMERS A'!B:B,"Not Found")</f>
        <v>Tunde Adebayo</v>
      </c>
      <c r="B116" t="str">
        <f>_xlfn.XLOOKUP(A116,'CUSTOMERS A'!B:B,'CUSTOMERS A'!C:C,"Not Found")</f>
        <v>Ibadan</v>
      </c>
      <c r="C116" t="str">
        <f>_xlfn.XLOOKUP(A116,'CUSTOMERS A'!B:B,'CUSTOMERS A'!D:D,"Not Found")</f>
        <v>Corporate</v>
      </c>
      <c r="D116" t="s">
        <v>264</v>
      </c>
      <c r="E116" t="s">
        <v>121</v>
      </c>
      <c r="F116" t="s">
        <v>17</v>
      </c>
      <c r="G116" s="19">
        <v>46122</v>
      </c>
      <c r="H116" s="2">
        <v>3</v>
      </c>
      <c r="I116" s="7">
        <v>0</v>
      </c>
      <c r="J116" t="str">
        <f>_xlfn.XLOOKUP(F116,'PRODUCTS A'!A:A,'PRODUCTS A'!B:B,"Not Found")</f>
        <v>Monitor</v>
      </c>
      <c r="K116" t="str">
        <f>_xlfn.XLOOKUP(J116,'PRODUCTS A'!B:B,'PRODUCTS A'!C:C,"Not Found")</f>
        <v>Electronics</v>
      </c>
      <c r="L116" s="9">
        <f>_xlfn.XLOOKUP(J116,'PRODUCTS A'!B:B,'PRODUCTS A'!D:D,"Not Found")</f>
        <v>180000</v>
      </c>
      <c r="M116" s="10">
        <f t="shared" si="4"/>
        <v>540000</v>
      </c>
    </row>
    <row r="117" spans="1:13" x14ac:dyDescent="0.25">
      <c r="A117" t="str">
        <f>_xlfn.XLOOKUP(E117,'CUSTOMERS A'!A:A,'CUSTOMERS A'!B:B,"Not Found")</f>
        <v>Fatima Musa</v>
      </c>
      <c r="B117" t="str">
        <f>_xlfn.XLOOKUP(A117,'CUSTOMERS A'!B:B,'CUSTOMERS A'!C:C,"Not Found")</f>
        <v>Kaduna</v>
      </c>
      <c r="C117" t="str">
        <f>_xlfn.XLOOKUP(A117,'CUSTOMERS A'!B:B,'CUSTOMERS A'!D:D,"Not Found")</f>
        <v>Retail</v>
      </c>
      <c r="D117" t="s">
        <v>265</v>
      </c>
      <c r="E117" t="s">
        <v>79</v>
      </c>
      <c r="F117" t="s">
        <v>40</v>
      </c>
      <c r="G117" s="19">
        <v>46153</v>
      </c>
      <c r="H117" s="2">
        <v>4</v>
      </c>
      <c r="I117" s="7">
        <v>0</v>
      </c>
      <c r="J117" t="str">
        <f>_xlfn.XLOOKUP(F117,'PRODUCTS A'!A:A,'PRODUCTS A'!B:B,"Not Found")</f>
        <v>Printer</v>
      </c>
      <c r="K117" t="str">
        <f>_xlfn.XLOOKUP(J117,'PRODUCTS A'!B:B,'PRODUCTS A'!C:C,"Not Found")</f>
        <v>Office Equipment</v>
      </c>
      <c r="L117" s="9">
        <f>_xlfn.XLOOKUP(J117,'PRODUCTS A'!B:B,'PRODUCTS A'!D:D,"Not Found")</f>
        <v>120000</v>
      </c>
      <c r="M117" s="10">
        <f t="shared" si="4"/>
        <v>480000</v>
      </c>
    </row>
    <row r="118" spans="1:13" x14ac:dyDescent="0.25">
      <c r="A118" t="str">
        <f>_xlfn.XLOOKUP(E118,'CUSTOMERS A'!A:A,'CUSTOMERS A'!B:B,"Not Found")</f>
        <v>Michael Joseph</v>
      </c>
      <c r="B118" t="str">
        <f>_xlfn.XLOOKUP(A118,'CUSTOMERS A'!B:B,'CUSTOMERS A'!C:C,"Not Found")</f>
        <v>Calabar</v>
      </c>
      <c r="C118" t="str">
        <f>_xlfn.XLOOKUP(A118,'CUSTOMERS A'!B:B,'CUSTOMERS A'!D:D,"Not Found")</f>
        <v>Wholesale</v>
      </c>
      <c r="D118" t="s">
        <v>266</v>
      </c>
      <c r="E118" t="s">
        <v>109</v>
      </c>
      <c r="F118" t="s">
        <v>62</v>
      </c>
      <c r="G118" s="19">
        <v>46185</v>
      </c>
      <c r="H118" s="2">
        <v>5</v>
      </c>
      <c r="I118" s="7">
        <v>0.05</v>
      </c>
      <c r="J118" t="str">
        <f>_xlfn.XLOOKUP(F118,'PRODUCTS A'!A:A,'PRODUCTS A'!B:B,"Not Found")</f>
        <v>Headset</v>
      </c>
      <c r="K118" t="str">
        <f>_xlfn.XLOOKUP(J118,'PRODUCTS A'!B:B,'PRODUCTS A'!C:C,"Not Found")</f>
        <v>Accessories</v>
      </c>
      <c r="L118" s="9">
        <f>_xlfn.XLOOKUP(J118,'PRODUCTS A'!B:B,'PRODUCTS A'!D:D,"Not Found")</f>
        <v>25000</v>
      </c>
      <c r="M118" s="10">
        <f t="shared" si="4"/>
        <v>118750</v>
      </c>
    </row>
    <row r="119" spans="1:13" x14ac:dyDescent="0.25">
      <c r="A119" t="str">
        <f>_xlfn.XLOOKUP(E119,'CUSTOMERS A'!A:A,'CUSTOMERS A'!B:B,"Not Found")</f>
        <v>Aisha Bello</v>
      </c>
      <c r="B119" t="str">
        <f>_xlfn.XLOOKUP(A119,'CUSTOMERS A'!B:B,'CUSTOMERS A'!C:C,"Not Found")</f>
        <v>Lagos</v>
      </c>
      <c r="C119" t="str">
        <f>_xlfn.XLOOKUP(A119,'CUSTOMERS A'!B:B,'CUSTOMERS A'!D:D,"Not Found")</f>
        <v>Retail</v>
      </c>
      <c r="D119" t="s">
        <v>267</v>
      </c>
      <c r="E119" t="s">
        <v>32</v>
      </c>
      <c r="F119" t="s">
        <v>12</v>
      </c>
      <c r="G119" s="19">
        <v>46035</v>
      </c>
      <c r="H119" s="2">
        <v>2</v>
      </c>
      <c r="I119" s="7">
        <v>0</v>
      </c>
      <c r="J119" t="str">
        <f>_xlfn.XLOOKUP(F119,'PRODUCTS A'!A:A,'PRODUCTS A'!B:B,"Not Found")</f>
        <v>Laptop</v>
      </c>
      <c r="K119" t="str">
        <f>_xlfn.XLOOKUP(J119,'PRODUCTS A'!B:B,'PRODUCTS A'!C:C,"Not Found")</f>
        <v>Electronics</v>
      </c>
      <c r="L119" s="9">
        <f>_xlfn.XLOOKUP(J119,'PRODUCTS A'!B:B,'PRODUCTS A'!D:D,"Not Found")</f>
        <v>450000</v>
      </c>
      <c r="M119" s="10">
        <f t="shared" si="4"/>
        <v>900000</v>
      </c>
    </row>
    <row r="120" spans="1:13" x14ac:dyDescent="0.25">
      <c r="A120" t="str">
        <f>_xlfn.XLOOKUP(E120,'CUSTOMERS A'!A:A,'CUSTOMERS A'!B:B,"Not Found")</f>
        <v>Emeka Nwosu</v>
      </c>
      <c r="B120" t="str">
        <f>_xlfn.XLOOKUP(A120,'CUSTOMERS A'!B:B,'CUSTOMERS A'!C:C,"Not Found")</f>
        <v>Enugu</v>
      </c>
      <c r="C120" t="str">
        <f>_xlfn.XLOOKUP(A120,'CUSTOMERS A'!B:B,'CUSTOMERS A'!D:D,"Not Found")</f>
        <v>Corporate</v>
      </c>
      <c r="D120" t="s">
        <v>268</v>
      </c>
      <c r="E120" t="s">
        <v>10</v>
      </c>
      <c r="F120" t="s">
        <v>11</v>
      </c>
      <c r="G120" s="19">
        <v>46067</v>
      </c>
      <c r="H120" s="2">
        <v>2</v>
      </c>
      <c r="I120" s="7">
        <v>0.1</v>
      </c>
      <c r="J120" t="str">
        <f>_xlfn.XLOOKUP(F120,'PRODUCTS A'!A:A,'PRODUCTS A'!B:B,"Not Found")</f>
        <v>Mouse</v>
      </c>
      <c r="K120" t="str">
        <f>_xlfn.XLOOKUP(J120,'PRODUCTS A'!B:B,'PRODUCTS A'!C:C,"Not Found")</f>
        <v>Accessories</v>
      </c>
      <c r="L120" s="9">
        <f>_xlfn.XLOOKUP(J120,'PRODUCTS A'!B:B,'PRODUCTS A'!D:D,"Not Found")</f>
        <v>8000</v>
      </c>
      <c r="M120" s="10">
        <f t="shared" si="4"/>
        <v>14400</v>
      </c>
    </row>
    <row r="121" spans="1:13" x14ac:dyDescent="0.25">
      <c r="A121" t="str">
        <f>_xlfn.XLOOKUP(E121,'CUSTOMERS A'!A:A,'CUSTOMERS A'!B:B,"Not Found")</f>
        <v>Ruth Daniel</v>
      </c>
      <c r="B121" t="str">
        <f>_xlfn.XLOOKUP(A121,'CUSTOMERS A'!B:B,'CUSTOMERS A'!C:C,"Not Found")</f>
        <v>Lagos</v>
      </c>
      <c r="C121" t="str">
        <f>_xlfn.XLOOKUP(A121,'CUSTOMERS A'!B:B,'CUSTOMERS A'!D:D,"Not Found")</f>
        <v>Corporate</v>
      </c>
      <c r="D121" t="s">
        <v>269</v>
      </c>
      <c r="E121" t="s">
        <v>19</v>
      </c>
      <c r="F121" t="s">
        <v>21</v>
      </c>
      <c r="G121" s="19">
        <v>46096</v>
      </c>
      <c r="H121" s="2">
        <v>3</v>
      </c>
      <c r="I121" s="7">
        <v>0</v>
      </c>
      <c r="J121" t="str">
        <f>_xlfn.XLOOKUP(F121,'PRODUCTS A'!A:A,'PRODUCTS A'!B:B,"Not Found")</f>
        <v>Desk</v>
      </c>
      <c r="K121" t="str">
        <f>_xlfn.XLOOKUP(J121,'PRODUCTS A'!B:B,'PRODUCTS A'!C:C,"Not Found")</f>
        <v>Furniture</v>
      </c>
      <c r="L121" s="9">
        <f>_xlfn.XLOOKUP(J121,'PRODUCTS A'!B:B,'PRODUCTS A'!D:D,"Not Found")</f>
        <v>140000</v>
      </c>
      <c r="M121" s="10">
        <f t="shared" si="4"/>
        <v>420000</v>
      </c>
    </row>
    <row r="122" spans="1:13" x14ac:dyDescent="0.25">
      <c r="A122" t="str">
        <f>_xlfn.XLOOKUP(E122,'CUSTOMERS A'!A:A,'CUSTOMERS A'!B:B,"Not Found")</f>
        <v>Daniel Okafor</v>
      </c>
      <c r="B122" t="str">
        <f>_xlfn.XLOOKUP(A122,'CUSTOMERS A'!B:B,'CUSTOMERS A'!C:C,"Not Found")</f>
        <v>Abuja</v>
      </c>
      <c r="C122" t="str">
        <f>_xlfn.XLOOKUP(A122,'CUSTOMERS A'!B:B,'CUSTOMERS A'!D:D,"Not Found")</f>
        <v>Corporate</v>
      </c>
      <c r="D122" t="s">
        <v>270</v>
      </c>
      <c r="E122" t="s">
        <v>29</v>
      </c>
      <c r="F122" t="s">
        <v>30</v>
      </c>
      <c r="G122" s="19">
        <v>46128</v>
      </c>
      <c r="H122" s="2">
        <v>4</v>
      </c>
      <c r="I122" s="7">
        <v>0</v>
      </c>
      <c r="J122" t="str">
        <f>_xlfn.XLOOKUP(F122,'PRODUCTS A'!A:A,'PRODUCTS A'!B:B,"Not Found")</f>
        <v>External Drive</v>
      </c>
      <c r="K122" t="str">
        <f>_xlfn.XLOOKUP(J122,'PRODUCTS A'!B:B,'PRODUCTS A'!C:C,"Not Found")</f>
        <v>Electronics</v>
      </c>
      <c r="L122" s="9">
        <f>_xlfn.XLOOKUP(J122,'PRODUCTS A'!B:B,'PRODUCTS A'!D:D,"Not Found")</f>
        <v>75000</v>
      </c>
      <c r="M122" s="10">
        <f t="shared" si="4"/>
        <v>300000</v>
      </c>
    </row>
    <row r="123" spans="1:13" x14ac:dyDescent="0.25">
      <c r="A123" t="str">
        <f>_xlfn.XLOOKUP(E123,'CUSTOMERS A'!A:A,'CUSTOMERS A'!B:B,"Not Found")</f>
        <v>Blessing Ojo</v>
      </c>
      <c r="B123" t="str">
        <f>_xlfn.XLOOKUP(A123,'CUSTOMERS A'!B:B,'CUSTOMERS A'!C:C,"Not Found")</f>
        <v>Lagos</v>
      </c>
      <c r="C123" t="str">
        <f>_xlfn.XLOOKUP(A123,'CUSTOMERS A'!B:B,'CUSTOMERS A'!D:D,"Not Found")</f>
        <v>Wholesale</v>
      </c>
      <c r="D123" t="s">
        <v>271</v>
      </c>
      <c r="E123" t="s">
        <v>36</v>
      </c>
      <c r="F123" t="s">
        <v>24</v>
      </c>
      <c r="G123" s="19">
        <v>46159</v>
      </c>
      <c r="H123" s="2">
        <v>5</v>
      </c>
      <c r="I123" s="7">
        <v>0</v>
      </c>
      <c r="J123" t="str">
        <f>_xlfn.XLOOKUP(F123,'PRODUCTS A'!A:A,'PRODUCTS A'!B:B,"Not Found")</f>
        <v>Keyboard</v>
      </c>
      <c r="K123" t="str">
        <f>_xlfn.XLOOKUP(J123,'PRODUCTS A'!B:B,'PRODUCTS A'!C:C,"Not Found")</f>
        <v>Accessories</v>
      </c>
      <c r="L123" s="9">
        <f>_xlfn.XLOOKUP(J123,'PRODUCTS A'!B:B,'PRODUCTS A'!D:D,"Not Found")</f>
        <v>15000</v>
      </c>
      <c r="M123" s="10">
        <f t="shared" si="4"/>
        <v>75000</v>
      </c>
    </row>
    <row r="124" spans="1:13" x14ac:dyDescent="0.25">
      <c r="A124" t="str">
        <f>_xlfn.XLOOKUP(E124,'CUSTOMERS A'!A:A,'CUSTOMERS A'!B:B,"Not Found")</f>
        <v>Peter Williams</v>
      </c>
      <c r="B124" t="str">
        <f>_xlfn.XLOOKUP(A124,'CUSTOMERS A'!B:B,'CUSTOMERS A'!C:C,"Not Found")</f>
        <v>Abeokuta</v>
      </c>
      <c r="C124" t="str">
        <f>_xlfn.XLOOKUP(A124,'CUSTOMERS A'!B:B,'CUSTOMERS A'!D:D,"Not Found")</f>
        <v>Retail</v>
      </c>
      <c r="D124" t="s">
        <v>272</v>
      </c>
      <c r="E124" t="s">
        <v>49</v>
      </c>
      <c r="F124" t="s">
        <v>47</v>
      </c>
      <c r="G124" s="19">
        <v>46191</v>
      </c>
      <c r="H124" s="2">
        <v>1</v>
      </c>
      <c r="I124" s="7">
        <v>0</v>
      </c>
      <c r="J124" t="str">
        <f>_xlfn.XLOOKUP(F124,'PRODUCTS A'!A:A,'PRODUCTS A'!B:B,"Not Found")</f>
        <v>Office Chair</v>
      </c>
      <c r="K124" t="str">
        <f>_xlfn.XLOOKUP(J124,'PRODUCTS A'!B:B,'PRODUCTS A'!C:C,"Not Found")</f>
        <v>Furniture</v>
      </c>
      <c r="L124" s="9">
        <f>_xlfn.XLOOKUP(J124,'PRODUCTS A'!B:B,'PRODUCTS A'!D:D,"Not Found")</f>
        <v>95000</v>
      </c>
      <c r="M124" s="10">
        <f t="shared" si="4"/>
        <v>95000</v>
      </c>
    </row>
    <row r="125" spans="1:13" x14ac:dyDescent="0.25">
      <c r="A125" t="str">
        <f>_xlfn.XLOOKUP(E125,'CUSTOMERS A'!A:A,'CUSTOMERS A'!B:B,"Not Found")</f>
        <v>Mariam Yusuf</v>
      </c>
      <c r="B125" t="str">
        <f>_xlfn.XLOOKUP(A125,'CUSTOMERS A'!B:B,'CUSTOMERS A'!C:C,"Not Found")</f>
        <v>Kano</v>
      </c>
      <c r="C125" t="str">
        <f>_xlfn.XLOOKUP(A125,'CUSTOMERS A'!B:B,'CUSTOMERS A'!D:D,"Not Found")</f>
        <v>Retail</v>
      </c>
      <c r="D125" t="s">
        <v>273</v>
      </c>
      <c r="E125" t="s">
        <v>50</v>
      </c>
      <c r="F125" t="s">
        <v>58</v>
      </c>
      <c r="G125" s="19">
        <v>46041</v>
      </c>
      <c r="H125" s="2">
        <v>2</v>
      </c>
      <c r="I125" s="7">
        <v>0.05</v>
      </c>
      <c r="J125" t="str">
        <f>_xlfn.XLOOKUP(F125,'PRODUCTS A'!A:A,'PRODUCTS A'!B:B,"Not Found")</f>
        <v>Tablet</v>
      </c>
      <c r="K125" t="str">
        <f>_xlfn.XLOOKUP(J125,'PRODUCTS A'!B:B,'PRODUCTS A'!C:C,"Not Found")</f>
        <v>Electronics</v>
      </c>
      <c r="L125" s="9">
        <f>_xlfn.XLOOKUP(J125,'PRODUCTS A'!B:B,'PRODUCTS A'!D:D,"Not Found")</f>
        <v>220000</v>
      </c>
      <c r="M125" s="10">
        <f t="shared" si="4"/>
        <v>418000</v>
      </c>
    </row>
    <row r="126" spans="1:13" x14ac:dyDescent="0.25">
      <c r="A126" t="str">
        <f>_xlfn.XLOOKUP(E126,'CUSTOMERS A'!A:A,'CUSTOMERS A'!B:B,"Not Found")</f>
        <v>Ibrahim Sani</v>
      </c>
      <c r="B126" t="str">
        <f>_xlfn.XLOOKUP(A126,'CUSTOMERS A'!B:B,'CUSTOMERS A'!C:C,"Not Found")</f>
        <v>Abuja</v>
      </c>
      <c r="C126" t="str">
        <f>_xlfn.XLOOKUP(A126,'CUSTOMERS A'!B:B,'CUSTOMERS A'!D:D,"Not Found")</f>
        <v>Retail</v>
      </c>
      <c r="D126" t="s">
        <v>274</v>
      </c>
      <c r="E126" t="s">
        <v>66</v>
      </c>
      <c r="F126" t="s">
        <v>17</v>
      </c>
      <c r="G126" s="19">
        <v>46073</v>
      </c>
      <c r="H126" s="2">
        <v>3</v>
      </c>
      <c r="I126" s="7">
        <v>0</v>
      </c>
      <c r="J126" t="str">
        <f>_xlfn.XLOOKUP(F126,'PRODUCTS A'!A:A,'PRODUCTS A'!B:B,"Not Found")</f>
        <v>Monitor</v>
      </c>
      <c r="K126" t="str">
        <f>_xlfn.XLOOKUP(J126,'PRODUCTS A'!B:B,'PRODUCTS A'!C:C,"Not Found")</f>
        <v>Electronics</v>
      </c>
      <c r="L126" s="9">
        <f>_xlfn.XLOOKUP(J126,'PRODUCTS A'!B:B,'PRODUCTS A'!D:D,"Not Found")</f>
        <v>180000</v>
      </c>
      <c r="M126" s="10">
        <f t="shared" si="4"/>
        <v>540000</v>
      </c>
    </row>
    <row r="127" spans="1:13" x14ac:dyDescent="0.25">
      <c r="A127" t="str">
        <f>_xlfn.XLOOKUP(E127,'CUSTOMERS A'!A:A,'CUSTOMERS A'!B:B,"Not Found")</f>
        <v>Hauwa Ali</v>
      </c>
      <c r="B127" t="str">
        <f>_xlfn.XLOOKUP(A127,'CUSTOMERS A'!B:B,'CUSTOMERS A'!C:C,"Not Found")</f>
        <v>Kano</v>
      </c>
      <c r="C127" t="str">
        <f>_xlfn.XLOOKUP(A127,'CUSTOMERS A'!B:B,'CUSTOMERS A'!D:D,"Not Found")</f>
        <v>Corporate</v>
      </c>
      <c r="D127" t="s">
        <v>275</v>
      </c>
      <c r="E127" t="s">
        <v>75</v>
      </c>
      <c r="F127" t="s">
        <v>40</v>
      </c>
      <c r="G127" s="19">
        <v>46102</v>
      </c>
      <c r="H127" s="2">
        <v>4</v>
      </c>
      <c r="I127" s="7">
        <v>0</v>
      </c>
      <c r="J127" t="str">
        <f>_xlfn.XLOOKUP(F127,'PRODUCTS A'!A:A,'PRODUCTS A'!B:B,"Not Found")</f>
        <v>Printer</v>
      </c>
      <c r="K127" t="str">
        <f>_xlfn.XLOOKUP(J127,'PRODUCTS A'!B:B,'PRODUCTS A'!C:C,"Not Found")</f>
        <v>Office Equipment</v>
      </c>
      <c r="L127" s="9">
        <f>_xlfn.XLOOKUP(J127,'PRODUCTS A'!B:B,'PRODUCTS A'!D:D,"Not Found")</f>
        <v>120000</v>
      </c>
      <c r="M127" s="10">
        <f t="shared" si="4"/>
        <v>480000</v>
      </c>
    </row>
    <row r="128" spans="1:13" x14ac:dyDescent="0.25">
      <c r="A128" t="str">
        <f>_xlfn.XLOOKUP(E128,'CUSTOMERS A'!A:A,'CUSTOMERS A'!B:B,"Not Found")</f>
        <v>Chinedu Obi</v>
      </c>
      <c r="B128" t="str">
        <f>_xlfn.XLOOKUP(A128,'CUSTOMERS A'!B:B,'CUSTOMERS A'!C:C,"Not Found")</f>
        <v>Port Harcourt</v>
      </c>
      <c r="C128" t="str">
        <f>_xlfn.XLOOKUP(A128,'CUSTOMERS A'!B:B,'CUSTOMERS A'!D:D,"Not Found")</f>
        <v>Corporate</v>
      </c>
      <c r="D128" t="s">
        <v>276</v>
      </c>
      <c r="E128" t="s">
        <v>57</v>
      </c>
      <c r="F128" t="s">
        <v>62</v>
      </c>
      <c r="G128" s="19">
        <v>46134</v>
      </c>
      <c r="H128" s="2">
        <v>5</v>
      </c>
      <c r="I128" s="7">
        <v>0</v>
      </c>
      <c r="J128" t="str">
        <f>_xlfn.XLOOKUP(F128,'PRODUCTS A'!A:A,'PRODUCTS A'!B:B,"Not Found")</f>
        <v>Headset</v>
      </c>
      <c r="K128" t="str">
        <f>_xlfn.XLOOKUP(J128,'PRODUCTS A'!B:B,'PRODUCTS A'!C:C,"Not Found")</f>
        <v>Accessories</v>
      </c>
      <c r="L128" s="9">
        <f>_xlfn.XLOOKUP(J128,'PRODUCTS A'!B:B,'PRODUCTS A'!D:D,"Not Found")</f>
        <v>25000</v>
      </c>
      <c r="M128" s="10">
        <f t="shared" si="4"/>
        <v>125000</v>
      </c>
    </row>
    <row r="129" spans="1:13" x14ac:dyDescent="0.25">
      <c r="A129" t="str">
        <f>_xlfn.XLOOKUP(E129,'CUSTOMERS A'!A:A,'CUSTOMERS A'!B:B,"Not Found")</f>
        <v>Esther James</v>
      </c>
      <c r="B129" t="str">
        <f>_xlfn.XLOOKUP(A129,'CUSTOMERS A'!B:B,'CUSTOMERS A'!C:C,"Not Found")</f>
        <v>Warri</v>
      </c>
      <c r="C129" t="str">
        <f>_xlfn.XLOOKUP(A129,'CUSTOMERS A'!B:B,'CUSTOMERS A'!D:D,"Not Found")</f>
        <v>Retail</v>
      </c>
      <c r="D129" t="s">
        <v>277</v>
      </c>
      <c r="E129" t="s">
        <v>94</v>
      </c>
      <c r="F129" t="s">
        <v>12</v>
      </c>
      <c r="G129" s="19">
        <v>46165</v>
      </c>
      <c r="H129" s="2">
        <v>1</v>
      </c>
      <c r="I129" s="7">
        <v>0</v>
      </c>
      <c r="J129" t="str">
        <f>_xlfn.XLOOKUP(F129,'PRODUCTS A'!A:A,'PRODUCTS A'!B:B,"Not Found")</f>
        <v>Laptop</v>
      </c>
      <c r="K129" t="str">
        <f>_xlfn.XLOOKUP(J129,'PRODUCTS A'!B:B,'PRODUCTS A'!C:C,"Not Found")</f>
        <v>Electronics</v>
      </c>
      <c r="L129" s="9">
        <f>_xlfn.XLOOKUP(J129,'PRODUCTS A'!B:B,'PRODUCTS A'!D:D,"Not Found")</f>
        <v>450000</v>
      </c>
      <c r="M129" s="10">
        <f t="shared" ref="M129:M149" si="5">L129*H129*(1-I129)</f>
        <v>450000</v>
      </c>
    </row>
    <row r="130" spans="1:13" x14ac:dyDescent="0.25">
      <c r="A130" t="str">
        <f>_xlfn.XLOOKUP(E130,'CUSTOMERS A'!A:A,'CUSTOMERS A'!B:B,"Not Found")</f>
        <v>Kelvin George</v>
      </c>
      <c r="B130" t="str">
        <f>_xlfn.XLOOKUP(A130,'CUSTOMERS A'!B:B,'CUSTOMERS A'!C:C,"Not Found")</f>
        <v>Port Harcourt</v>
      </c>
      <c r="C130" t="str">
        <f>_xlfn.XLOOKUP(A130,'CUSTOMERS A'!B:B,'CUSTOMERS A'!D:D,"Not Found")</f>
        <v>Retail</v>
      </c>
      <c r="D130" t="s">
        <v>278</v>
      </c>
      <c r="E130" t="s">
        <v>91</v>
      </c>
      <c r="F130" t="s">
        <v>11</v>
      </c>
      <c r="G130" s="19">
        <v>46197</v>
      </c>
      <c r="H130" s="2">
        <v>2</v>
      </c>
      <c r="I130" s="7">
        <v>0</v>
      </c>
      <c r="J130" t="str">
        <f>_xlfn.XLOOKUP(F130,'PRODUCTS A'!A:A,'PRODUCTS A'!B:B,"Not Found")</f>
        <v>Mouse</v>
      </c>
      <c r="K130" t="str">
        <f>_xlfn.XLOOKUP(J130,'PRODUCTS A'!B:B,'PRODUCTS A'!C:C,"Not Found")</f>
        <v>Accessories</v>
      </c>
      <c r="L130" s="9">
        <f>_xlfn.XLOOKUP(J130,'PRODUCTS A'!B:B,'PRODUCTS A'!D:D,"Not Found")</f>
        <v>8000</v>
      </c>
      <c r="M130" s="10">
        <f t="shared" si="5"/>
        <v>16000</v>
      </c>
    </row>
    <row r="131" spans="1:13" x14ac:dyDescent="0.25">
      <c r="A131" t="str">
        <f>_xlfn.XLOOKUP(E131,'CUSTOMERS A'!A:A,'CUSTOMERS A'!B:B,"Not Found")</f>
        <v>Grace Eze</v>
      </c>
      <c r="B131" t="str">
        <f>_xlfn.XLOOKUP(A131,'CUSTOMERS A'!B:B,'CUSTOMERS A'!C:C,"Not Found")</f>
        <v>Benin City</v>
      </c>
      <c r="C131" t="str">
        <f>_xlfn.XLOOKUP(A131,'CUSTOMERS A'!B:B,'CUSTOMERS A'!D:D,"Not Found")</f>
        <v>Retail</v>
      </c>
      <c r="D131" t="s">
        <v>279</v>
      </c>
      <c r="E131" t="s">
        <v>65</v>
      </c>
      <c r="F131" t="s">
        <v>21</v>
      </c>
      <c r="G131" s="19">
        <v>46047</v>
      </c>
      <c r="H131" s="2">
        <v>3</v>
      </c>
      <c r="I131" s="7">
        <v>0.1</v>
      </c>
      <c r="J131" t="str">
        <f>_xlfn.XLOOKUP(F131,'PRODUCTS A'!A:A,'PRODUCTS A'!B:B,"Not Found")</f>
        <v>Desk</v>
      </c>
      <c r="K131" t="str">
        <f>_xlfn.XLOOKUP(J131,'PRODUCTS A'!B:B,'PRODUCTS A'!C:C,"Not Found")</f>
        <v>Furniture</v>
      </c>
      <c r="L131" s="9">
        <f>_xlfn.XLOOKUP(J131,'PRODUCTS A'!B:B,'PRODUCTS A'!D:D,"Not Found")</f>
        <v>140000</v>
      </c>
      <c r="M131" s="10">
        <f t="shared" si="5"/>
        <v>378000</v>
      </c>
    </row>
    <row r="132" spans="1:13" x14ac:dyDescent="0.25">
      <c r="A132" t="str">
        <f>_xlfn.XLOOKUP(E132,'CUSTOMERS A'!A:A,'CUSTOMERS A'!B:B,"Not Found")</f>
        <v>David Umeh</v>
      </c>
      <c r="B132" t="str">
        <f>_xlfn.XLOOKUP(A132,'CUSTOMERS A'!B:B,'CUSTOMERS A'!C:C,"Not Found")</f>
        <v>Asaba</v>
      </c>
      <c r="C132" t="str">
        <f>_xlfn.XLOOKUP(A132,'CUSTOMERS A'!B:B,'CUSTOMERS A'!D:D,"Not Found")</f>
        <v>Corporate</v>
      </c>
      <c r="D132" t="s">
        <v>280</v>
      </c>
      <c r="E132" t="s">
        <v>98</v>
      </c>
      <c r="F132" t="s">
        <v>30</v>
      </c>
      <c r="G132" s="19">
        <v>46079</v>
      </c>
      <c r="H132" s="2">
        <v>4</v>
      </c>
      <c r="I132" s="7">
        <v>0.05</v>
      </c>
      <c r="J132" t="str">
        <f>_xlfn.XLOOKUP(F132,'PRODUCTS A'!A:A,'PRODUCTS A'!B:B,"Not Found")</f>
        <v>External Drive</v>
      </c>
      <c r="K132" t="str">
        <f>_xlfn.XLOOKUP(J132,'PRODUCTS A'!B:B,'PRODUCTS A'!C:C,"Not Found")</f>
        <v>Electronics</v>
      </c>
      <c r="L132" s="9">
        <f>_xlfn.XLOOKUP(J132,'PRODUCTS A'!B:B,'PRODUCTS A'!D:D,"Not Found")</f>
        <v>75000</v>
      </c>
      <c r="M132" s="10">
        <f t="shared" si="5"/>
        <v>285000</v>
      </c>
    </row>
    <row r="133" spans="1:13" x14ac:dyDescent="0.25">
      <c r="A133" t="str">
        <f>_xlfn.XLOOKUP(E133,'CUSTOMERS A'!A:A,'CUSTOMERS A'!B:B,"Not Found")</f>
        <v>Mercy John</v>
      </c>
      <c r="B133" t="str">
        <f>_xlfn.XLOOKUP(A133,'CUSTOMERS A'!B:B,'CUSTOMERS A'!C:C,"Not Found")</f>
        <v>Benin City</v>
      </c>
      <c r="C133" t="str">
        <f>_xlfn.XLOOKUP(A133,'CUSTOMERS A'!B:B,'CUSTOMERS A'!D:D,"Not Found")</f>
        <v>Wholesale</v>
      </c>
      <c r="D133" t="s">
        <v>281</v>
      </c>
      <c r="E133" t="s">
        <v>107</v>
      </c>
      <c r="F133" t="s">
        <v>24</v>
      </c>
      <c r="G133" s="19">
        <v>46108</v>
      </c>
      <c r="H133" s="2">
        <v>5</v>
      </c>
      <c r="I133" s="7">
        <v>0</v>
      </c>
      <c r="J133" t="str">
        <f>_xlfn.XLOOKUP(F133,'PRODUCTS A'!A:A,'PRODUCTS A'!B:B,"Not Found")</f>
        <v>Keyboard</v>
      </c>
      <c r="K133" t="str">
        <f>_xlfn.XLOOKUP(J133,'PRODUCTS A'!B:B,'PRODUCTS A'!C:C,"Not Found")</f>
        <v>Accessories</v>
      </c>
      <c r="L133" s="9">
        <f>_xlfn.XLOOKUP(J133,'PRODUCTS A'!B:B,'PRODUCTS A'!D:D,"Not Found")</f>
        <v>15000</v>
      </c>
      <c r="M133" s="10">
        <f t="shared" si="5"/>
        <v>75000</v>
      </c>
    </row>
    <row r="134" spans="1:13" x14ac:dyDescent="0.25">
      <c r="A134" t="str">
        <f>_xlfn.XLOOKUP(E134,'CUSTOMERS A'!A:A,'CUSTOMERS A'!B:B,"Not Found")</f>
        <v>Samuel Adeyemi</v>
      </c>
      <c r="B134" t="str">
        <f>_xlfn.XLOOKUP(A134,'CUSTOMERS A'!B:B,'CUSTOMERS A'!C:C,"Not Found")</f>
        <v>Ibadan</v>
      </c>
      <c r="C134" t="str">
        <f>_xlfn.XLOOKUP(A134,'CUSTOMERS A'!B:B,'CUSTOMERS A'!D:D,"Not Found")</f>
        <v>Wholesale</v>
      </c>
      <c r="D134" t="s">
        <v>282</v>
      </c>
      <c r="E134" t="s">
        <v>71</v>
      </c>
      <c r="F134" t="s">
        <v>47</v>
      </c>
      <c r="G134" s="19">
        <v>46113</v>
      </c>
      <c r="H134" s="2">
        <v>1</v>
      </c>
      <c r="I134" s="7">
        <v>0</v>
      </c>
      <c r="J134" t="str">
        <f>_xlfn.XLOOKUP(F134,'PRODUCTS A'!A:A,'PRODUCTS A'!B:B,"Not Found")</f>
        <v>Office Chair</v>
      </c>
      <c r="K134" t="str">
        <f>_xlfn.XLOOKUP(J134,'PRODUCTS A'!B:B,'PRODUCTS A'!C:C,"Not Found")</f>
        <v>Furniture</v>
      </c>
      <c r="L134" s="9">
        <f>_xlfn.XLOOKUP(J134,'PRODUCTS A'!B:B,'PRODUCTS A'!D:D,"Not Found")</f>
        <v>95000</v>
      </c>
      <c r="M134" s="10">
        <f t="shared" si="5"/>
        <v>95000</v>
      </c>
    </row>
    <row r="135" spans="1:13" x14ac:dyDescent="0.25">
      <c r="A135" t="str">
        <f>_xlfn.XLOOKUP(E135,'CUSTOMERS A'!A:A,'CUSTOMERS A'!B:B,"Not Found")</f>
        <v>Joy Akpan</v>
      </c>
      <c r="B135" t="str">
        <f>_xlfn.XLOOKUP(A135,'CUSTOMERS A'!B:B,'CUSTOMERS A'!C:C,"Not Found")</f>
        <v>Uyo</v>
      </c>
      <c r="C135" t="str">
        <f>_xlfn.XLOOKUP(A135,'CUSTOMERS A'!B:B,'CUSTOMERS A'!D:D,"Not Found")</f>
        <v>Retail</v>
      </c>
      <c r="D135" t="s">
        <v>283</v>
      </c>
      <c r="E135" t="s">
        <v>103</v>
      </c>
      <c r="F135" t="s">
        <v>58</v>
      </c>
      <c r="G135" s="19">
        <v>46144</v>
      </c>
      <c r="H135" s="2">
        <v>2</v>
      </c>
      <c r="I135" s="7">
        <v>0</v>
      </c>
      <c r="J135" t="str">
        <f>_xlfn.XLOOKUP(F135,'PRODUCTS A'!A:A,'PRODUCTS A'!B:B,"Not Found")</f>
        <v>Tablet</v>
      </c>
      <c r="K135" t="str">
        <f>_xlfn.XLOOKUP(J135,'PRODUCTS A'!B:B,'PRODUCTS A'!C:C,"Not Found")</f>
        <v>Electronics</v>
      </c>
      <c r="L135" s="9">
        <f>_xlfn.XLOOKUP(J135,'PRODUCTS A'!B:B,'PRODUCTS A'!D:D,"Not Found")</f>
        <v>220000</v>
      </c>
      <c r="M135" s="10">
        <f t="shared" si="5"/>
        <v>440000</v>
      </c>
    </row>
    <row r="136" spans="1:13" x14ac:dyDescent="0.25">
      <c r="A136" t="str">
        <f>_xlfn.XLOOKUP(E136,'CUSTOMERS A'!A:A,'CUSTOMERS A'!B:B,"Not Found")</f>
        <v>Tunde Adebayo</v>
      </c>
      <c r="B136" t="str">
        <f>_xlfn.XLOOKUP(A136,'CUSTOMERS A'!B:B,'CUSTOMERS A'!C:C,"Not Found")</f>
        <v>Ibadan</v>
      </c>
      <c r="C136" t="str">
        <f>_xlfn.XLOOKUP(A136,'CUSTOMERS A'!B:B,'CUSTOMERS A'!D:D,"Not Found")</f>
        <v>Corporate</v>
      </c>
      <c r="D136" t="s">
        <v>284</v>
      </c>
      <c r="E136" t="s">
        <v>121</v>
      </c>
      <c r="F136" t="s">
        <v>17</v>
      </c>
      <c r="G136" s="19">
        <v>46176</v>
      </c>
      <c r="H136" s="2">
        <v>3</v>
      </c>
      <c r="I136" s="7">
        <v>0</v>
      </c>
      <c r="J136" t="str">
        <f>_xlfn.XLOOKUP(F136,'PRODUCTS A'!A:A,'PRODUCTS A'!B:B,"Not Found")</f>
        <v>Monitor</v>
      </c>
      <c r="K136" t="str">
        <f>_xlfn.XLOOKUP(J136,'PRODUCTS A'!B:B,'PRODUCTS A'!C:C,"Not Found")</f>
        <v>Electronics</v>
      </c>
      <c r="L136" s="9">
        <f>_xlfn.XLOOKUP(J136,'PRODUCTS A'!B:B,'PRODUCTS A'!D:D,"Not Found")</f>
        <v>180000</v>
      </c>
      <c r="M136" s="10">
        <f t="shared" si="5"/>
        <v>540000</v>
      </c>
    </row>
    <row r="137" spans="1:13" x14ac:dyDescent="0.25">
      <c r="A137" t="str">
        <f>_xlfn.XLOOKUP(E137,'CUSTOMERS A'!A:A,'CUSTOMERS A'!B:B,"Not Found")</f>
        <v>Fatima Musa</v>
      </c>
      <c r="B137" t="str">
        <f>_xlfn.XLOOKUP(A137,'CUSTOMERS A'!B:B,'CUSTOMERS A'!C:C,"Not Found")</f>
        <v>Kaduna</v>
      </c>
      <c r="C137" t="str">
        <f>_xlfn.XLOOKUP(A137,'CUSTOMERS A'!B:B,'CUSTOMERS A'!D:D,"Not Found")</f>
        <v>Retail</v>
      </c>
      <c r="D137" t="s">
        <v>285</v>
      </c>
      <c r="E137" t="s">
        <v>79</v>
      </c>
      <c r="F137" t="s">
        <v>40</v>
      </c>
      <c r="G137" s="19">
        <v>46026</v>
      </c>
      <c r="H137" s="2">
        <v>4</v>
      </c>
      <c r="I137" s="7">
        <v>0</v>
      </c>
      <c r="J137" t="str">
        <f>_xlfn.XLOOKUP(F137,'PRODUCTS A'!A:A,'PRODUCTS A'!B:B,"Not Found")</f>
        <v>Printer</v>
      </c>
      <c r="K137" t="str">
        <f>_xlfn.XLOOKUP(J137,'PRODUCTS A'!B:B,'PRODUCTS A'!C:C,"Not Found")</f>
        <v>Office Equipment</v>
      </c>
      <c r="L137" s="9">
        <f>_xlfn.XLOOKUP(J137,'PRODUCTS A'!B:B,'PRODUCTS A'!D:D,"Not Found")</f>
        <v>120000</v>
      </c>
      <c r="M137" s="10">
        <f t="shared" si="5"/>
        <v>480000</v>
      </c>
    </row>
    <row r="138" spans="1:13" x14ac:dyDescent="0.25">
      <c r="A138" t="str">
        <f>_xlfn.XLOOKUP(E138,'CUSTOMERS A'!A:A,'CUSTOMERS A'!B:B,"Not Found")</f>
        <v>Michael Joseph</v>
      </c>
      <c r="B138" t="str">
        <f>_xlfn.XLOOKUP(A138,'CUSTOMERS A'!B:B,'CUSTOMERS A'!C:C,"Not Found")</f>
        <v>Calabar</v>
      </c>
      <c r="C138" t="str">
        <f>_xlfn.XLOOKUP(A138,'CUSTOMERS A'!B:B,'CUSTOMERS A'!D:D,"Not Found")</f>
        <v>Wholesale</v>
      </c>
      <c r="D138" t="s">
        <v>286</v>
      </c>
      <c r="E138" t="s">
        <v>109</v>
      </c>
      <c r="F138" t="s">
        <v>62</v>
      </c>
      <c r="G138" s="19">
        <v>46058</v>
      </c>
      <c r="H138" s="2">
        <v>5</v>
      </c>
      <c r="I138" s="7">
        <v>0</v>
      </c>
      <c r="J138" t="str">
        <f>_xlfn.XLOOKUP(F138,'PRODUCTS A'!A:A,'PRODUCTS A'!B:B,"Not Found")</f>
        <v>Headset</v>
      </c>
      <c r="K138" t="str">
        <f>_xlfn.XLOOKUP(J138,'PRODUCTS A'!B:B,'PRODUCTS A'!C:C,"Not Found")</f>
        <v>Accessories</v>
      </c>
      <c r="L138" s="9">
        <f>_xlfn.XLOOKUP(J138,'PRODUCTS A'!B:B,'PRODUCTS A'!D:D,"Not Found")</f>
        <v>25000</v>
      </c>
      <c r="M138" s="10">
        <f t="shared" si="5"/>
        <v>125000</v>
      </c>
    </row>
    <row r="139" spans="1:13" x14ac:dyDescent="0.25">
      <c r="A139" t="str">
        <f>_xlfn.XLOOKUP(E139,'CUSTOMERS A'!A:A,'CUSTOMERS A'!B:B,"Not Found")</f>
        <v>Aisha Bello</v>
      </c>
      <c r="B139" t="str">
        <f>_xlfn.XLOOKUP(A139,'CUSTOMERS A'!B:B,'CUSTOMERS A'!C:C,"Not Found")</f>
        <v>Lagos</v>
      </c>
      <c r="C139" t="str">
        <f>_xlfn.XLOOKUP(A139,'CUSTOMERS A'!B:B,'CUSTOMERS A'!D:D,"Not Found")</f>
        <v>Retail</v>
      </c>
      <c r="D139" t="s">
        <v>287</v>
      </c>
      <c r="E139" t="s">
        <v>32</v>
      </c>
      <c r="F139" t="s">
        <v>12</v>
      </c>
      <c r="G139" s="19">
        <v>46087</v>
      </c>
      <c r="H139" s="2">
        <v>1</v>
      </c>
      <c r="I139" s="7">
        <v>0.25</v>
      </c>
      <c r="J139" t="str">
        <f>_xlfn.XLOOKUP(F139,'PRODUCTS A'!A:A,'PRODUCTS A'!B:B,"Not Found")</f>
        <v>Laptop</v>
      </c>
      <c r="K139" t="str">
        <f>_xlfn.XLOOKUP(J139,'PRODUCTS A'!B:B,'PRODUCTS A'!C:C,"Not Found")</f>
        <v>Electronics</v>
      </c>
      <c r="L139" s="9">
        <f>_xlfn.XLOOKUP(J139,'PRODUCTS A'!B:B,'PRODUCTS A'!D:D,"Not Found")</f>
        <v>450000</v>
      </c>
      <c r="M139" s="10">
        <f t="shared" si="5"/>
        <v>337500</v>
      </c>
    </row>
    <row r="140" spans="1:13" x14ac:dyDescent="0.25">
      <c r="A140" t="str">
        <f>_xlfn.XLOOKUP(E140,'CUSTOMERS A'!A:A,'CUSTOMERS A'!B:B,"Not Found")</f>
        <v>Emeka Nwosu</v>
      </c>
      <c r="B140" t="str">
        <f>_xlfn.XLOOKUP(A140,'CUSTOMERS A'!B:B,'CUSTOMERS A'!C:C,"Not Found")</f>
        <v>Enugu</v>
      </c>
      <c r="C140" t="str">
        <f>_xlfn.XLOOKUP(A140,'CUSTOMERS A'!B:B,'CUSTOMERS A'!D:D,"Not Found")</f>
        <v>Corporate</v>
      </c>
      <c r="D140" t="s">
        <v>288</v>
      </c>
      <c r="E140" t="s">
        <v>10</v>
      </c>
      <c r="F140" t="s">
        <v>11</v>
      </c>
      <c r="G140" s="19">
        <v>46119</v>
      </c>
      <c r="H140" s="2">
        <v>2</v>
      </c>
      <c r="I140" s="7">
        <v>0</v>
      </c>
      <c r="J140" t="str">
        <f>_xlfn.XLOOKUP(F140,'PRODUCTS A'!A:A,'PRODUCTS A'!B:B,"Not Found")</f>
        <v>Mouse</v>
      </c>
      <c r="K140" t="str">
        <f>_xlfn.XLOOKUP(J140,'PRODUCTS A'!B:B,'PRODUCTS A'!C:C,"Not Found")</f>
        <v>Accessories</v>
      </c>
      <c r="L140" s="9">
        <f>_xlfn.XLOOKUP(J140,'PRODUCTS A'!B:B,'PRODUCTS A'!D:D,"Not Found")</f>
        <v>8000</v>
      </c>
      <c r="M140" s="10">
        <f t="shared" si="5"/>
        <v>16000</v>
      </c>
    </row>
    <row r="141" spans="1:13" x14ac:dyDescent="0.25">
      <c r="A141" t="str">
        <f>_xlfn.XLOOKUP(E141,'CUSTOMERS A'!A:A,'CUSTOMERS A'!B:B,"Not Found")</f>
        <v>Ruth Daniel</v>
      </c>
      <c r="B141" t="str">
        <f>_xlfn.XLOOKUP(A141,'CUSTOMERS A'!B:B,'CUSTOMERS A'!C:C,"Not Found")</f>
        <v>Lagos</v>
      </c>
      <c r="C141" t="str">
        <f>_xlfn.XLOOKUP(A141,'CUSTOMERS A'!B:B,'CUSTOMERS A'!D:D,"Not Found")</f>
        <v>Corporate</v>
      </c>
      <c r="D141" t="s">
        <v>289</v>
      </c>
      <c r="E141" t="s">
        <v>19</v>
      </c>
      <c r="F141" t="s">
        <v>21</v>
      </c>
      <c r="G141" s="19">
        <v>46150</v>
      </c>
      <c r="H141" s="2">
        <v>3</v>
      </c>
      <c r="I141" s="7">
        <v>0</v>
      </c>
      <c r="J141" t="str">
        <f>_xlfn.XLOOKUP(F141,'PRODUCTS A'!A:A,'PRODUCTS A'!B:B,"Not Found")</f>
        <v>Desk</v>
      </c>
      <c r="K141" t="str">
        <f>_xlfn.XLOOKUP(J141,'PRODUCTS A'!B:B,'PRODUCTS A'!C:C,"Not Found")</f>
        <v>Furniture</v>
      </c>
      <c r="L141" s="9">
        <f>_xlfn.XLOOKUP(J141,'PRODUCTS A'!B:B,'PRODUCTS A'!D:D,"Not Found")</f>
        <v>140000</v>
      </c>
      <c r="M141" s="10">
        <f t="shared" si="5"/>
        <v>420000</v>
      </c>
    </row>
    <row r="142" spans="1:13" x14ac:dyDescent="0.25">
      <c r="A142" t="str">
        <f>_xlfn.XLOOKUP(E142,'CUSTOMERS A'!A:A,'CUSTOMERS A'!B:B,"Not Found")</f>
        <v>Daniel Okafor</v>
      </c>
      <c r="B142" t="str">
        <f>_xlfn.XLOOKUP(A142,'CUSTOMERS A'!B:B,'CUSTOMERS A'!C:C,"Not Found")</f>
        <v>Abuja</v>
      </c>
      <c r="C142" t="str">
        <f>_xlfn.XLOOKUP(A142,'CUSTOMERS A'!B:B,'CUSTOMERS A'!D:D,"Not Found")</f>
        <v>Corporate</v>
      </c>
      <c r="D142" t="s">
        <v>290</v>
      </c>
      <c r="E142" t="s">
        <v>29</v>
      </c>
      <c r="F142" t="s">
        <v>30</v>
      </c>
      <c r="G142" s="19">
        <v>46182</v>
      </c>
      <c r="H142" s="2">
        <v>4</v>
      </c>
      <c r="I142" s="7">
        <v>0.1</v>
      </c>
      <c r="J142" t="str">
        <f>_xlfn.XLOOKUP(F142,'PRODUCTS A'!A:A,'PRODUCTS A'!B:B,"Not Found")</f>
        <v>External Drive</v>
      </c>
      <c r="K142" t="str">
        <f>_xlfn.XLOOKUP(J142,'PRODUCTS A'!B:B,'PRODUCTS A'!C:C,"Not Found")</f>
        <v>Electronics</v>
      </c>
      <c r="L142" s="9">
        <f>_xlfn.XLOOKUP(J142,'PRODUCTS A'!B:B,'PRODUCTS A'!D:D,"Not Found")</f>
        <v>75000</v>
      </c>
      <c r="M142" s="10">
        <f t="shared" si="5"/>
        <v>270000</v>
      </c>
    </row>
    <row r="143" spans="1:13" x14ac:dyDescent="0.25">
      <c r="A143" t="str">
        <f>_xlfn.XLOOKUP(E143,'CUSTOMERS A'!A:A,'CUSTOMERS A'!B:B,"Not Found")</f>
        <v>Blessing Ojo</v>
      </c>
      <c r="B143" t="str">
        <f>_xlfn.XLOOKUP(A143,'CUSTOMERS A'!B:B,'CUSTOMERS A'!C:C,"Not Found")</f>
        <v>Lagos</v>
      </c>
      <c r="C143" t="str">
        <f>_xlfn.XLOOKUP(A143,'CUSTOMERS A'!B:B,'CUSTOMERS A'!D:D,"Not Found")</f>
        <v>Wholesale</v>
      </c>
      <c r="D143" t="s">
        <v>291</v>
      </c>
      <c r="E143" t="s">
        <v>36</v>
      </c>
      <c r="F143" t="s">
        <v>24</v>
      </c>
      <c r="G143" s="19">
        <v>46032</v>
      </c>
      <c r="H143" s="2">
        <v>5</v>
      </c>
      <c r="I143" s="7">
        <v>0</v>
      </c>
      <c r="J143" t="str">
        <f>_xlfn.XLOOKUP(F143,'PRODUCTS A'!A:A,'PRODUCTS A'!B:B,"Not Found")</f>
        <v>Keyboard</v>
      </c>
      <c r="K143" t="str">
        <f>_xlfn.XLOOKUP(J143,'PRODUCTS A'!B:B,'PRODUCTS A'!C:C,"Not Found")</f>
        <v>Accessories</v>
      </c>
      <c r="L143" s="9">
        <f>_xlfn.XLOOKUP(J143,'PRODUCTS A'!B:B,'PRODUCTS A'!D:D,"Not Found")</f>
        <v>15000</v>
      </c>
      <c r="M143" s="10">
        <f t="shared" si="5"/>
        <v>75000</v>
      </c>
    </row>
    <row r="144" spans="1:13" x14ac:dyDescent="0.25">
      <c r="A144" t="str">
        <f>_xlfn.XLOOKUP(E144,'CUSTOMERS A'!A:A,'CUSTOMERS A'!B:B,"Not Found")</f>
        <v>Peter Williams</v>
      </c>
      <c r="B144" t="str">
        <f>_xlfn.XLOOKUP(A144,'CUSTOMERS A'!B:B,'CUSTOMERS A'!C:C,"Not Found")</f>
        <v>Abeokuta</v>
      </c>
      <c r="C144" t="str">
        <f>_xlfn.XLOOKUP(A144,'CUSTOMERS A'!B:B,'CUSTOMERS A'!D:D,"Not Found")</f>
        <v>Retail</v>
      </c>
      <c r="D144" t="s">
        <v>292</v>
      </c>
      <c r="E144" t="s">
        <v>49</v>
      </c>
      <c r="F144" t="s">
        <v>47</v>
      </c>
      <c r="G144" s="19">
        <v>46064</v>
      </c>
      <c r="H144" s="2">
        <v>1</v>
      </c>
      <c r="I144" s="7">
        <v>0</v>
      </c>
      <c r="J144" t="str">
        <f>_xlfn.XLOOKUP(F144,'PRODUCTS A'!A:A,'PRODUCTS A'!B:B,"Not Found")</f>
        <v>Office Chair</v>
      </c>
      <c r="K144" t="str">
        <f>_xlfn.XLOOKUP(J144,'PRODUCTS A'!B:B,'PRODUCTS A'!C:C,"Not Found")</f>
        <v>Furniture</v>
      </c>
      <c r="L144" s="9">
        <f>_xlfn.XLOOKUP(J144,'PRODUCTS A'!B:B,'PRODUCTS A'!D:D,"Not Found")</f>
        <v>95000</v>
      </c>
      <c r="M144" s="10">
        <f t="shared" si="5"/>
        <v>95000</v>
      </c>
    </row>
    <row r="145" spans="1:13" x14ac:dyDescent="0.25">
      <c r="A145" t="str">
        <f>_xlfn.XLOOKUP(E145,'CUSTOMERS A'!A:A,'CUSTOMERS A'!B:B,"Not Found")</f>
        <v>Mariam Yusuf</v>
      </c>
      <c r="B145" t="str">
        <f>_xlfn.XLOOKUP(A145,'CUSTOMERS A'!B:B,'CUSTOMERS A'!C:C,"Not Found")</f>
        <v>Kano</v>
      </c>
      <c r="C145" t="str">
        <f>_xlfn.XLOOKUP(A145,'CUSTOMERS A'!B:B,'CUSTOMERS A'!D:D,"Not Found")</f>
        <v>Retail</v>
      </c>
      <c r="D145" t="s">
        <v>293</v>
      </c>
      <c r="E145" t="s">
        <v>50</v>
      </c>
      <c r="F145" t="s">
        <v>58</v>
      </c>
      <c r="G145" s="19">
        <v>46093</v>
      </c>
      <c r="H145" s="2">
        <v>2</v>
      </c>
      <c r="I145" s="7">
        <v>0</v>
      </c>
      <c r="J145" t="str">
        <f>_xlfn.XLOOKUP(F145,'PRODUCTS A'!A:A,'PRODUCTS A'!B:B,"Not Found")</f>
        <v>Tablet</v>
      </c>
      <c r="K145" t="str">
        <f>_xlfn.XLOOKUP(J145,'PRODUCTS A'!B:B,'PRODUCTS A'!C:C,"Not Found")</f>
        <v>Electronics</v>
      </c>
      <c r="L145" s="9">
        <f>_xlfn.XLOOKUP(J145,'PRODUCTS A'!B:B,'PRODUCTS A'!D:D,"Not Found")</f>
        <v>220000</v>
      </c>
      <c r="M145" s="10">
        <f t="shared" si="5"/>
        <v>440000</v>
      </c>
    </row>
    <row r="146" spans="1:13" x14ac:dyDescent="0.25">
      <c r="A146" t="str">
        <f>_xlfn.XLOOKUP(E146,'CUSTOMERS A'!A:A,'CUSTOMERS A'!B:B,"Not Found")</f>
        <v>Ibrahim Sani</v>
      </c>
      <c r="B146" t="str">
        <f>_xlfn.XLOOKUP(A146,'CUSTOMERS A'!B:B,'CUSTOMERS A'!C:C,"Not Found")</f>
        <v>Abuja</v>
      </c>
      <c r="C146" t="str">
        <f>_xlfn.XLOOKUP(A146,'CUSTOMERS A'!B:B,'CUSTOMERS A'!D:D,"Not Found")</f>
        <v>Retail</v>
      </c>
      <c r="D146" t="s">
        <v>294</v>
      </c>
      <c r="E146" t="s">
        <v>66</v>
      </c>
      <c r="F146" t="s">
        <v>17</v>
      </c>
      <c r="G146" s="19">
        <v>46125</v>
      </c>
      <c r="H146" s="2">
        <v>3</v>
      </c>
      <c r="I146" s="7">
        <v>0.05</v>
      </c>
      <c r="J146" t="str">
        <f>_xlfn.XLOOKUP(F146,'PRODUCTS A'!A:A,'PRODUCTS A'!B:B,"Not Found")</f>
        <v>Monitor</v>
      </c>
      <c r="K146" t="str">
        <f>_xlfn.XLOOKUP(J146,'PRODUCTS A'!B:B,'PRODUCTS A'!C:C,"Not Found")</f>
        <v>Electronics</v>
      </c>
      <c r="L146" s="9">
        <f>_xlfn.XLOOKUP(J146,'PRODUCTS A'!B:B,'PRODUCTS A'!D:D,"Not Found")</f>
        <v>180000</v>
      </c>
      <c r="M146" s="10">
        <f t="shared" si="5"/>
        <v>513000</v>
      </c>
    </row>
    <row r="147" spans="1:13" x14ac:dyDescent="0.25">
      <c r="A147" t="str">
        <f>_xlfn.XLOOKUP(E147,'CUSTOMERS A'!A:A,'CUSTOMERS A'!B:B,"Not Found")</f>
        <v>Hauwa Ali</v>
      </c>
      <c r="B147" t="str">
        <f>_xlfn.XLOOKUP(A147,'CUSTOMERS A'!B:B,'CUSTOMERS A'!C:C,"Not Found")</f>
        <v>Kano</v>
      </c>
      <c r="C147" t="str">
        <f>_xlfn.XLOOKUP(A147,'CUSTOMERS A'!B:B,'CUSTOMERS A'!D:D,"Not Found")</f>
        <v>Corporate</v>
      </c>
      <c r="D147" t="s">
        <v>295</v>
      </c>
      <c r="E147" t="s">
        <v>75</v>
      </c>
      <c r="F147" t="s">
        <v>40</v>
      </c>
      <c r="G147" s="19">
        <v>46156</v>
      </c>
      <c r="H147" s="2">
        <v>4</v>
      </c>
      <c r="I147" s="7">
        <v>0</v>
      </c>
      <c r="J147" t="str">
        <f>_xlfn.XLOOKUP(F147,'PRODUCTS A'!A:A,'PRODUCTS A'!B:B,"Not Found")</f>
        <v>Printer</v>
      </c>
      <c r="K147" t="str">
        <f>_xlfn.XLOOKUP(J147,'PRODUCTS A'!B:B,'PRODUCTS A'!C:C,"Not Found")</f>
        <v>Office Equipment</v>
      </c>
      <c r="L147" s="9">
        <f>_xlfn.XLOOKUP(J147,'PRODUCTS A'!B:B,'PRODUCTS A'!D:D,"Not Found")</f>
        <v>120000</v>
      </c>
      <c r="M147" s="10">
        <f t="shared" si="5"/>
        <v>480000</v>
      </c>
    </row>
    <row r="148" spans="1:13" x14ac:dyDescent="0.25">
      <c r="A148" t="str">
        <f>_xlfn.XLOOKUP(E148,'CUSTOMERS A'!A:A,'CUSTOMERS A'!B:B,"Not Found")</f>
        <v>Chinedu Obi</v>
      </c>
      <c r="B148" t="str">
        <f>_xlfn.XLOOKUP(A148,'CUSTOMERS A'!B:B,'CUSTOMERS A'!C:C,"Not Found")</f>
        <v>Port Harcourt</v>
      </c>
      <c r="C148" t="str">
        <f>_xlfn.XLOOKUP(A148,'CUSTOMERS A'!B:B,'CUSTOMERS A'!D:D,"Not Found")</f>
        <v>Corporate</v>
      </c>
      <c r="D148" t="s">
        <v>296</v>
      </c>
      <c r="E148" t="s">
        <v>57</v>
      </c>
      <c r="F148" t="s">
        <v>62</v>
      </c>
      <c r="G148" s="19">
        <v>46188</v>
      </c>
      <c r="H148" s="2">
        <v>5</v>
      </c>
      <c r="I148" s="7">
        <v>0</v>
      </c>
      <c r="J148" t="str">
        <f>_xlfn.XLOOKUP(F148,'PRODUCTS A'!A:A,'PRODUCTS A'!B:B,"Not Found")</f>
        <v>Headset</v>
      </c>
      <c r="K148" t="str">
        <f>_xlfn.XLOOKUP(J148,'PRODUCTS A'!B:B,'PRODUCTS A'!C:C,"Not Found")</f>
        <v>Accessories</v>
      </c>
      <c r="L148" s="9">
        <f>_xlfn.XLOOKUP(J148,'PRODUCTS A'!B:B,'PRODUCTS A'!D:D,"Not Found")</f>
        <v>25000</v>
      </c>
      <c r="M148" s="10">
        <f t="shared" si="5"/>
        <v>125000</v>
      </c>
    </row>
    <row r="149" spans="1:13" x14ac:dyDescent="0.25">
      <c r="A149" t="str">
        <f>_xlfn.XLOOKUP(E149,'CUSTOMERS A'!A:A,'CUSTOMERS A'!B:B,"Not Found")</f>
        <v>Esther James</v>
      </c>
      <c r="B149" t="str">
        <f>_xlfn.XLOOKUP(A149,'CUSTOMERS A'!B:B,'CUSTOMERS A'!C:C,"Not Found")</f>
        <v>Warri</v>
      </c>
      <c r="C149" t="str">
        <f>_xlfn.XLOOKUP(A149,'CUSTOMERS A'!B:B,'CUSTOMERS A'!D:D,"Not Found")</f>
        <v>Retail</v>
      </c>
      <c r="D149" t="s">
        <v>297</v>
      </c>
      <c r="E149" t="s">
        <v>94</v>
      </c>
      <c r="F149" t="s">
        <v>12</v>
      </c>
      <c r="G149" s="19">
        <v>46038</v>
      </c>
      <c r="H149" s="2">
        <v>1</v>
      </c>
      <c r="I149" s="7">
        <v>0</v>
      </c>
      <c r="J149" t="str">
        <f>_xlfn.XLOOKUP(F149,'PRODUCTS A'!A:A,'PRODUCTS A'!B:B,"Not Found")</f>
        <v>Laptop</v>
      </c>
      <c r="K149" t="str">
        <f>_xlfn.XLOOKUP(J149,'PRODUCTS A'!B:B,'PRODUCTS A'!C:C,"Not Found")</f>
        <v>Electronics</v>
      </c>
      <c r="L149" s="9">
        <f>_xlfn.XLOOKUP(J149,'PRODUCTS A'!B:B,'PRODUCTS A'!D:D,"Not Found")</f>
        <v>450000</v>
      </c>
      <c r="M149" s="10">
        <f t="shared" si="5"/>
        <v>450000</v>
      </c>
    </row>
    <row r="152" spans="1:13" x14ac:dyDescent="0.25">
      <c r="L152" s="9"/>
    </row>
  </sheetData>
  <autoFilter ref="J1:M152" xr:uid="{89F4A04D-EE79-4D26-9163-8490EDCD46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B6F3-E5B7-4F5E-A326-16F257ABE660}">
  <dimension ref="A3:N24"/>
  <sheetViews>
    <sheetView topLeftCell="A2" workbookViewId="0">
      <selection activeCell="G9" sqref="G9"/>
    </sheetView>
  </sheetViews>
  <sheetFormatPr defaultRowHeight="15" x14ac:dyDescent="0.25"/>
  <cols>
    <col min="1" max="1" width="17.7109375" bestFit="1" customWidth="1"/>
    <col min="2" max="2" width="17.28515625" bestFit="1" customWidth="1"/>
    <col min="4" max="4" width="5" customWidth="1"/>
    <col min="5" max="5" width="12.7109375" bestFit="1" customWidth="1"/>
    <col min="6" max="6" width="17.28515625" bestFit="1" customWidth="1"/>
    <col min="8" max="8" width="5.42578125" customWidth="1"/>
    <col min="9" max="9" width="11.28515625" bestFit="1" customWidth="1"/>
    <col min="10" max="10" width="17.28515625" bestFit="1" customWidth="1"/>
    <col min="12" max="12" width="2.42578125" customWidth="1"/>
    <col min="13" max="13" width="16.7109375" bestFit="1" customWidth="1"/>
    <col min="14" max="14" width="17.28515625" bestFit="1" customWidth="1"/>
  </cols>
  <sheetData>
    <row r="3" spans="1:14" x14ac:dyDescent="0.25">
      <c r="A3" s="15" t="s">
        <v>298</v>
      </c>
      <c r="B3" t="s">
        <v>304</v>
      </c>
      <c r="E3" s="15" t="s">
        <v>22</v>
      </c>
      <c r="F3" t="s">
        <v>304</v>
      </c>
      <c r="I3" s="15" t="s">
        <v>305</v>
      </c>
      <c r="J3" t="s">
        <v>304</v>
      </c>
      <c r="M3" s="15" t="s">
        <v>306</v>
      </c>
      <c r="N3" t="s">
        <v>304</v>
      </c>
    </row>
    <row r="4" spans="1:14" x14ac:dyDescent="0.25">
      <c r="A4" s="16" t="s">
        <v>90</v>
      </c>
      <c r="B4" s="10">
        <v>4716000</v>
      </c>
      <c r="E4" s="16" t="s">
        <v>54</v>
      </c>
      <c r="F4" s="10">
        <v>7222000</v>
      </c>
      <c r="I4" s="16" t="s">
        <v>20</v>
      </c>
      <c r="J4" s="10">
        <v>7992000</v>
      </c>
      <c r="M4" s="16" t="s">
        <v>307</v>
      </c>
      <c r="N4" s="10">
        <v>9642250</v>
      </c>
    </row>
    <row r="5" spans="1:14" x14ac:dyDescent="0.25">
      <c r="A5" s="16" t="s">
        <v>120</v>
      </c>
      <c r="B5" s="10">
        <v>3768000</v>
      </c>
      <c r="E5" s="16" t="s">
        <v>45</v>
      </c>
      <c r="F5" s="10">
        <v>7071000</v>
      </c>
      <c r="I5" s="16" t="s">
        <v>41</v>
      </c>
      <c r="J5" s="10">
        <v>7104000</v>
      </c>
      <c r="M5" s="16" t="s">
        <v>308</v>
      </c>
      <c r="N5" s="10">
        <v>5319850</v>
      </c>
    </row>
    <row r="6" spans="1:14" x14ac:dyDescent="0.25">
      <c r="A6" s="16" t="s">
        <v>129</v>
      </c>
      <c r="B6" s="10">
        <v>3726000</v>
      </c>
      <c r="E6" s="16" t="s">
        <v>37</v>
      </c>
      <c r="F6" s="10">
        <v>6473250</v>
      </c>
      <c r="I6" s="16" t="s">
        <v>69</v>
      </c>
      <c r="J6" s="10">
        <v>6512000</v>
      </c>
      <c r="M6" s="16" t="s">
        <v>309</v>
      </c>
      <c r="N6" s="10">
        <v>8660250</v>
      </c>
    </row>
    <row r="7" spans="1:14" x14ac:dyDescent="0.25">
      <c r="A7" s="16" t="s">
        <v>52</v>
      </c>
      <c r="B7" s="10">
        <v>3454000</v>
      </c>
      <c r="E7" s="16" t="s">
        <v>76</v>
      </c>
      <c r="F7" s="10">
        <v>4376750</v>
      </c>
      <c r="I7" s="16" t="s">
        <v>56</v>
      </c>
      <c r="J7" s="10">
        <v>6174000</v>
      </c>
      <c r="M7" s="16" t="s">
        <v>310</v>
      </c>
      <c r="N7" s="10">
        <v>5289950</v>
      </c>
    </row>
    <row r="8" spans="1:14" x14ac:dyDescent="0.25">
      <c r="A8" s="16" t="s">
        <v>80</v>
      </c>
      <c r="B8" s="10">
        <v>3336000</v>
      </c>
      <c r="E8" s="16" t="s">
        <v>68</v>
      </c>
      <c r="F8" s="10">
        <v>3398250</v>
      </c>
      <c r="I8" s="16" t="s">
        <v>14</v>
      </c>
      <c r="J8" s="10">
        <v>6120000</v>
      </c>
      <c r="M8" s="16" t="s">
        <v>311</v>
      </c>
      <c r="N8" s="10">
        <v>8717500</v>
      </c>
    </row>
    <row r="9" spans="1:14" x14ac:dyDescent="0.25">
      <c r="A9" s="16" t="s">
        <v>113</v>
      </c>
      <c r="B9" s="10">
        <v>3297000</v>
      </c>
      <c r="E9" s="16" t="s">
        <v>81</v>
      </c>
      <c r="F9" s="10">
        <v>3336000</v>
      </c>
      <c r="I9" s="16" t="s">
        <v>73</v>
      </c>
      <c r="J9" s="10">
        <v>4410000</v>
      </c>
      <c r="M9" s="16" t="s">
        <v>312</v>
      </c>
      <c r="N9" s="10">
        <v>5283400</v>
      </c>
    </row>
    <row r="10" spans="1:14" x14ac:dyDescent="0.25">
      <c r="A10" s="16" t="s">
        <v>95</v>
      </c>
      <c r="B10" s="10">
        <v>3082500</v>
      </c>
      <c r="E10" s="16" t="s">
        <v>97</v>
      </c>
      <c r="F10" s="10">
        <v>3082500</v>
      </c>
      <c r="I10" s="16" t="s">
        <v>63</v>
      </c>
      <c r="J10" s="10">
        <v>1850000</v>
      </c>
      <c r="M10" s="16" t="s">
        <v>303</v>
      </c>
      <c r="N10" s="10">
        <v>42913200</v>
      </c>
    </row>
    <row r="11" spans="1:14" x14ac:dyDescent="0.25">
      <c r="A11" s="16" t="s">
        <v>104</v>
      </c>
      <c r="B11" s="10">
        <v>3058000</v>
      </c>
      <c r="E11" s="16" t="s">
        <v>106</v>
      </c>
      <c r="F11" s="10">
        <v>3058000</v>
      </c>
      <c r="I11" s="16" t="s">
        <v>48</v>
      </c>
      <c r="J11" s="10">
        <v>1406000</v>
      </c>
    </row>
    <row r="12" spans="1:14" x14ac:dyDescent="0.25">
      <c r="A12" s="16" t="s">
        <v>67</v>
      </c>
      <c r="B12" s="10">
        <v>2877000</v>
      </c>
      <c r="E12" s="16" t="s">
        <v>101</v>
      </c>
      <c r="F12" s="10">
        <v>2055000</v>
      </c>
      <c r="I12" s="16" t="s">
        <v>25</v>
      </c>
      <c r="J12" s="10">
        <v>1110000</v>
      </c>
      <c r="M12" s="15" t="s">
        <v>8</v>
      </c>
      <c r="N12" t="s">
        <v>304</v>
      </c>
    </row>
    <row r="13" spans="1:14" x14ac:dyDescent="0.25">
      <c r="A13" s="16" t="s">
        <v>35</v>
      </c>
      <c r="B13" s="10">
        <v>2587500</v>
      </c>
      <c r="E13" s="16" t="s">
        <v>61</v>
      </c>
      <c r="F13" s="10">
        <v>1103350</v>
      </c>
      <c r="I13" s="16" t="s">
        <v>33</v>
      </c>
      <c r="J13" s="10">
        <v>235200</v>
      </c>
      <c r="M13" s="16" t="s">
        <v>15</v>
      </c>
      <c r="N13" s="10">
        <v>25034000</v>
      </c>
    </row>
    <row r="14" spans="1:14" x14ac:dyDescent="0.25">
      <c r="A14" s="16" t="s">
        <v>44</v>
      </c>
      <c r="B14" s="10">
        <v>2355000</v>
      </c>
      <c r="E14" s="16" t="s">
        <v>111</v>
      </c>
      <c r="F14" s="10">
        <v>856250</v>
      </c>
      <c r="I14" s="16" t="s">
        <v>303</v>
      </c>
      <c r="J14" s="10">
        <v>42913200</v>
      </c>
      <c r="M14" s="16" t="s">
        <v>51</v>
      </c>
      <c r="N14" s="10">
        <v>7580000</v>
      </c>
    </row>
    <row r="15" spans="1:14" x14ac:dyDescent="0.25">
      <c r="A15" s="16" t="s">
        <v>100</v>
      </c>
      <c r="B15" s="10">
        <v>2055000</v>
      </c>
      <c r="E15" s="16" t="s">
        <v>117</v>
      </c>
      <c r="F15" s="10">
        <v>755250</v>
      </c>
      <c r="M15" s="16" t="s">
        <v>42</v>
      </c>
      <c r="N15" s="10">
        <v>7104000</v>
      </c>
    </row>
    <row r="16" spans="1:14" x14ac:dyDescent="0.25">
      <c r="A16" s="16" t="s">
        <v>59</v>
      </c>
      <c r="B16" s="10">
        <v>993750</v>
      </c>
      <c r="E16" s="16" t="s">
        <v>85</v>
      </c>
      <c r="F16" s="10">
        <v>125600</v>
      </c>
      <c r="M16" s="16" t="s">
        <v>28</v>
      </c>
      <c r="N16" s="10">
        <v>3195200</v>
      </c>
    </row>
    <row r="17" spans="1:14" x14ac:dyDescent="0.25">
      <c r="A17" s="16" t="s">
        <v>110</v>
      </c>
      <c r="B17" s="10">
        <v>856250</v>
      </c>
      <c r="E17" s="16" t="s">
        <v>303</v>
      </c>
      <c r="F17" s="10">
        <v>42913200</v>
      </c>
      <c r="I17" s="15" t="s">
        <v>8</v>
      </c>
      <c r="J17" t="s">
        <v>304</v>
      </c>
      <c r="M17" s="16" t="s">
        <v>303</v>
      </c>
      <c r="N17" s="10">
        <v>42913200</v>
      </c>
    </row>
    <row r="18" spans="1:14" x14ac:dyDescent="0.25">
      <c r="A18" s="16" t="s">
        <v>116</v>
      </c>
      <c r="B18" s="10">
        <v>755250</v>
      </c>
      <c r="I18" s="16" t="s">
        <v>38</v>
      </c>
      <c r="J18" s="10">
        <v>23975850</v>
      </c>
    </row>
    <row r="19" spans="1:14" x14ac:dyDescent="0.25">
      <c r="A19" s="16" t="s">
        <v>74</v>
      </c>
      <c r="B19" s="10">
        <v>650750</v>
      </c>
      <c r="I19" s="16" t="s">
        <v>46</v>
      </c>
      <c r="J19" s="10">
        <v>16320350</v>
      </c>
    </row>
    <row r="20" spans="1:14" x14ac:dyDescent="0.25">
      <c r="A20" s="16" t="s">
        <v>87</v>
      </c>
      <c r="B20" s="10">
        <v>588750</v>
      </c>
      <c r="I20" s="16" t="s">
        <v>77</v>
      </c>
      <c r="J20" s="10">
        <v>2617000</v>
      </c>
    </row>
    <row r="21" spans="1:14" x14ac:dyDescent="0.25">
      <c r="A21" s="16" t="s">
        <v>126</v>
      </c>
      <c r="B21" s="10">
        <v>521250</v>
      </c>
      <c r="I21" s="16" t="s">
        <v>303</v>
      </c>
      <c r="J21" s="10">
        <v>42913200</v>
      </c>
    </row>
    <row r="22" spans="1:14" x14ac:dyDescent="0.25">
      <c r="A22" s="16" t="s">
        <v>84</v>
      </c>
      <c r="B22" s="10">
        <v>125600</v>
      </c>
    </row>
    <row r="23" spans="1:14" x14ac:dyDescent="0.25">
      <c r="A23" s="16" t="s">
        <v>124</v>
      </c>
      <c r="B23" s="10">
        <v>109600</v>
      </c>
    </row>
    <row r="24" spans="1:14" x14ac:dyDescent="0.25">
      <c r="A24" s="16" t="s">
        <v>303</v>
      </c>
      <c r="B24" s="10">
        <v>42913200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0D21-9762-4F99-8348-0515A366DA15}">
  <dimension ref="A1:U1"/>
  <sheetViews>
    <sheetView tabSelected="1" workbookViewId="0">
      <selection sqref="A1:U1048576"/>
    </sheetView>
  </sheetViews>
  <sheetFormatPr defaultRowHeight="15" x14ac:dyDescent="0.25"/>
  <cols>
    <col min="1" max="21" width="9.140625" style="20"/>
  </cols>
  <sheetData/>
  <mergeCells count="1">
    <mergeCell ref="A1:U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 A</vt:lpstr>
      <vt:lpstr>PRODUCTS A</vt:lpstr>
      <vt:lpstr>TRANSCATIONS A</vt:lpstr>
      <vt:lpstr>CLEANED DATA</vt:lpstr>
      <vt:lpstr>pivout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chinaenye ogbu</cp:lastModifiedBy>
  <dcterms:created xsi:type="dcterms:W3CDTF">2026-09-30T00:28:26Z</dcterms:created>
  <dcterms:modified xsi:type="dcterms:W3CDTF">2026-10-11T11:42:50Z</dcterms:modified>
</cp:coreProperties>
</file>